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59" documentId="11_7E4E55BF84DCCEE3ED7FF6F99031F45BFA722949" xr6:coauthVersionLast="47" xr6:coauthVersionMax="47" xr10:uidLastSave="{507FD574-949B-40EA-8393-83821FBA6D90}"/>
  <bookViews>
    <workbookView xWindow="240" yWindow="105" windowWidth="14805" windowHeight="8010" xr2:uid="{00000000-000D-0000-FFFF-FFFF00000000}"/>
  </bookViews>
  <sheets>
    <sheet name="Tecnicos Base Instalada" sheetId="2" r:id="rId1"/>
  </sheets>
  <definedNames>
    <definedName name="DatosExternos_1" localSheetId="0" hidden="1">'Tecnicos Base Instalada'!$A$1:$E$21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D22" i="2"/>
  <c r="E2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I11" i="2"/>
  <c r="F22" i="2"/>
  <c r="G2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6D406E-CBBD-4E76-91E2-9574895891C5}" keepAlive="1" name="Query - Tecnicos Base Instalada" description="Conexión a la consulta 'Tecnicos Base Instalada' en el libro." type="5" refreshedVersion="8" background="1">
    <dbPr connection="Provider=Microsoft.Mashup.OleDb.1;Data Source=$Workbook$;Location=Tecnicos Base Instalada;Extended Properties=&quot;&quot;" command="SELECT * FROM [Tecnicos Base Instalada]"/>
  </connection>
</connections>
</file>

<file path=xl/sharedStrings.xml><?xml version="1.0" encoding="utf-8"?>
<sst xmlns="http://schemas.openxmlformats.org/spreadsheetml/2006/main" count="96" uniqueCount="57">
  <si>
    <t>TECNICO ZONA</t>
  </si>
  <si>
    <t>ZONA TÉCNICA</t>
  </si>
  <si>
    <t>REGIÓN</t>
  </si>
  <si>
    <t>ATM</t>
  </si>
  <si>
    <t>Cash Today</t>
  </si>
  <si>
    <t>Zona Local</t>
  </si>
  <si>
    <t>Sub-Total</t>
  </si>
  <si>
    <t>Zonas Locales</t>
  </si>
  <si>
    <t>Aldayturriaga, Martin</t>
  </si>
  <si>
    <t>IN TDL</t>
  </si>
  <si>
    <t>PATAGONIA</t>
  </si>
  <si>
    <t>Oeste</t>
  </si>
  <si>
    <t>Atlántica</t>
  </si>
  <si>
    <t>Allende, Martin Leandro</t>
  </si>
  <si>
    <t>IN SRO</t>
  </si>
  <si>
    <t>La Pampa</t>
  </si>
  <si>
    <t>Centro</t>
  </si>
  <si>
    <t>Barrera, Fernando Andrés</t>
  </si>
  <si>
    <t>IN RIT</t>
  </si>
  <si>
    <t>Contratistas</t>
  </si>
  <si>
    <t>Buratti, Fabian</t>
  </si>
  <si>
    <t>IN MDP 2</t>
  </si>
  <si>
    <t>Castaño, Matias</t>
  </si>
  <si>
    <t>IN MDP3</t>
  </si>
  <si>
    <t>Chiriello, Pablo Javier</t>
  </si>
  <si>
    <t>IN MDP 1</t>
  </si>
  <si>
    <t>Sur</t>
  </si>
  <si>
    <t>Corti Victor</t>
  </si>
  <si>
    <t>IN TDF</t>
  </si>
  <si>
    <t>Suroeste</t>
  </si>
  <si>
    <t>Foschi, Alejandro</t>
  </si>
  <si>
    <t>IN RGA</t>
  </si>
  <si>
    <t>Garcia, Alejandro Javier</t>
  </si>
  <si>
    <t>IN TRQ</t>
  </si>
  <si>
    <t>Godoy, Diego</t>
  </si>
  <si>
    <t>IN TRE</t>
  </si>
  <si>
    <t>Gonzalez Cabrera, Antonio</t>
  </si>
  <si>
    <t>IN COM</t>
  </si>
  <si>
    <t>Hernandez, Marcos Alberto</t>
  </si>
  <si>
    <t>IN PCO</t>
  </si>
  <si>
    <t>IN PCO1</t>
  </si>
  <si>
    <t>Torres, Florencia</t>
  </si>
  <si>
    <t>IN BAR</t>
  </si>
  <si>
    <t>SUROESTE</t>
  </si>
  <si>
    <t>Ibañez, Pablo Fernando</t>
  </si>
  <si>
    <t>IN CIP</t>
  </si>
  <si>
    <t>Lazzaro, Leonardo</t>
  </si>
  <si>
    <t>IN NQN</t>
  </si>
  <si>
    <t>Martos, Jose Angel</t>
  </si>
  <si>
    <t>IN OLA</t>
  </si>
  <si>
    <t>Montiel, Juan Fernando</t>
  </si>
  <si>
    <t>IN COS</t>
  </si>
  <si>
    <t>Pavon, Diego Emanuel</t>
  </si>
  <si>
    <t>IN BB2</t>
  </si>
  <si>
    <t>Vicente, Francisco Ariel</t>
  </si>
  <si>
    <t>IN VIE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</si>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</sst>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7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B9D42AB-3D13-4030-B1D0-14A152215AC7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TECNICO ZONA" tableColumnId="1"/>
      <queryTableField id="2" name="ZONA TÉCNICA" tableColumnId="2"/>
      <queryTableField id="3" name="REGIÓN" tableColumnId="3"/>
      <queryTableField id="4" name="ATM" tableColumnId="4"/>
      <queryTableField id="5" name="Cash Today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FAF15-602E-44B3-8E9E-9EB89B93ED48}" name="Tecnicos_Base_Instalada" displayName="Tecnicos_Base_Instalada" ref="A1:G22" tableType="queryTable" totalsRowCount="1">
  <autoFilter ref="A1:G21" xr:uid="{C8EFAF15-602E-44B3-8E9E-9EB89B93ED48}"/>
  <tableColumns count="7">
    <tableColumn id="1" xr3:uid="{73463B5C-8E35-4300-95E2-768D6BB7F71C}" uniqueName="1" name="TECNICO ZONA" totalsRowLabel="Total" queryTableFieldId="1" dataDxfId="6"/>
    <tableColumn id="2" xr3:uid="{E3C6B130-C478-4A65-8802-70F66B24E9D8}" uniqueName="2" name="ZONA TÉCNICA" totalsRowFunction="custom" queryTableFieldId="2" dataDxfId="5">
      <totalsRowFormula>SUBTOTAL(102,B2:B21)</totalsRowFormula>
    </tableColumn>
    <tableColumn id="3" xr3:uid="{F3573398-3191-49C1-80BD-AB5EEEB32728}" uniqueName="3" name="REGIÓN" queryTableFieldId="3" dataDxfId="4"/>
    <tableColumn id="4" xr3:uid="{B261D971-5C70-40D6-9C06-9CD8079EB36D}" uniqueName="4" name="ATM" totalsRowFunction="custom" queryTableFieldId="4">
      <totalsRowFormula>SUBTOTAL(109,D2:D21)</totalsRowFormula>
    </tableColumn>
    <tableColumn id="5" xr3:uid="{0B39941B-1435-41AD-8DB6-3CF3CEC40F6C}" uniqueName="5" name="Cash Today" totalsRowFunction="custom" queryTableFieldId="5">
      <totalsRowFormula>SUBTOTAL(109,E2:E21)</totalsRowFormula>
    </tableColumn>
    <tableColumn id="6" xr3:uid="{4D0D604C-340D-482D-8137-EFF29BFB9A83}" uniqueName="6" name="Zona Local" totalsRowFunction="count" queryTableFieldId="6" dataDxfId="3"/>
    <tableColumn id="7" xr3:uid="{F88B55F4-7AD0-4A43-BCD4-5F44C55C6EB0}" uniqueName="7" name="Sub-Total" totalsRowFunction="custom" queryTableFieldId="7" dataDxfId="2">
      <calculatedColumnFormula>Tecnicos_Base_Instalada[[#This Row],[ATM]]+Tecnicos_Base_Instalada[[#This Row],[Cash Today]]</calculatedColumnFormula>
      <totalsRowFormula>SUBTOTAL(109,G2:G21)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23F72B-07E7-4B69-994D-5BF5F1B0495A}" name="Tabla2" displayName="Tabla2" ref="I1:I8" totalsRowShown="0" dataDxfId="1">
  <autoFilter ref="I1:I8" xr:uid="{F923F72B-07E7-4B69-994D-5BF5F1B0495A}"/>
  <tableColumns count="1">
    <tableColumn id="1" xr3:uid="{1112D1FB-7E64-4946-B119-9215512F565E}" name="Zonas Locales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5140A-E8DF-4BF0-9FB1-FDF37AAE285A}">
  <dimension ref="A1:I22"/>
  <sheetViews>
    <sheetView showGridLines="0" tabSelected="1" workbookViewId="0">
      <selection activeCell="A16" sqref="A16"/>
    </sheetView>
  </sheetViews>
  <sheetFormatPr defaultRowHeight="15"/>
  <cols>
    <col min="1" max="1" width="24.7109375" bestFit="1" customWidth="1"/>
    <col min="2" max="2" width="16.85546875" customWidth="1"/>
    <col min="3" max="3" width="11.42578125" bestFit="1" customWidth="1"/>
    <col min="4" max="4" width="7.140625" bestFit="1" customWidth="1"/>
    <col min="5" max="5" width="13.5703125" bestFit="1" customWidth="1"/>
    <col min="6" max="6" width="13" bestFit="1" customWidth="1"/>
    <col min="7" max="7" width="11.85546875" bestFit="1" customWidth="1"/>
    <col min="9" max="9" width="16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>
      <c r="A2" t="s">
        <v>8</v>
      </c>
      <c r="B2" t="s">
        <v>9</v>
      </c>
      <c r="C2" t="s">
        <v>10</v>
      </c>
      <c r="D2">
        <v>53</v>
      </c>
      <c r="E2">
        <v>20</v>
      </c>
      <c r="F2" t="s">
        <v>11</v>
      </c>
      <c r="G2" s="3">
        <f>Tecnicos_Base_Instalada[[#This Row],[ATM]]+Tecnicos_Base_Instalada[[#This Row],[Cash Today]]</f>
        <v>73</v>
      </c>
      <c r="I2" s="1" t="s">
        <v>12</v>
      </c>
    </row>
    <row r="3" spans="1:9">
      <c r="A3" t="s">
        <v>13</v>
      </c>
      <c r="B3" t="s">
        <v>14</v>
      </c>
      <c r="C3" t="s">
        <v>10</v>
      </c>
      <c r="D3">
        <v>93</v>
      </c>
      <c r="E3">
        <v>11</v>
      </c>
      <c r="F3" t="s">
        <v>15</v>
      </c>
      <c r="G3" s="3">
        <f>Tecnicos_Base_Instalada[[#This Row],[ATM]]+Tecnicos_Base_Instalada[[#This Row],[Cash Today]]</f>
        <v>104</v>
      </c>
      <c r="I3" t="s">
        <v>16</v>
      </c>
    </row>
    <row r="4" spans="1:9">
      <c r="A4" t="s">
        <v>17</v>
      </c>
      <c r="B4" t="s">
        <v>18</v>
      </c>
      <c r="C4" t="s">
        <v>10</v>
      </c>
      <c r="D4">
        <v>4</v>
      </c>
      <c r="F4" t="s">
        <v>19</v>
      </c>
      <c r="G4" s="3">
        <f>Tecnicos_Base_Instalada[[#This Row],[ATM]]+Tecnicos_Base_Instalada[[#This Row],[Cash Today]]</f>
        <v>4</v>
      </c>
      <c r="I4" s="1" t="s">
        <v>19</v>
      </c>
    </row>
    <row r="5" spans="1:9">
      <c r="A5" t="s">
        <v>20</v>
      </c>
      <c r="B5" t="s">
        <v>21</v>
      </c>
      <c r="C5" t="s">
        <v>10</v>
      </c>
      <c r="D5">
        <v>78</v>
      </c>
      <c r="E5">
        <v>1</v>
      </c>
      <c r="F5" t="s">
        <v>12</v>
      </c>
      <c r="G5" s="3">
        <f>Tecnicos_Base_Instalada[[#This Row],[ATM]]+Tecnicos_Base_Instalada[[#This Row],[Cash Today]]</f>
        <v>79</v>
      </c>
      <c r="I5" t="s">
        <v>15</v>
      </c>
    </row>
    <row r="6" spans="1:9">
      <c r="A6" t="s">
        <v>22</v>
      </c>
      <c r="B6" t="s">
        <v>23</v>
      </c>
      <c r="C6" t="s">
        <v>10</v>
      </c>
      <c r="E6">
        <v>75</v>
      </c>
      <c r="F6" t="s">
        <v>12</v>
      </c>
      <c r="G6" s="3">
        <f>Tecnicos_Base_Instalada[[#This Row],[ATM]]+Tecnicos_Base_Instalada[[#This Row],[Cash Today]]</f>
        <v>75</v>
      </c>
      <c r="I6" s="1" t="s">
        <v>11</v>
      </c>
    </row>
    <row r="7" spans="1:9">
      <c r="A7" t="s">
        <v>24</v>
      </c>
      <c r="B7" t="s">
        <v>25</v>
      </c>
      <c r="C7" t="s">
        <v>10</v>
      </c>
      <c r="D7">
        <v>64</v>
      </c>
      <c r="E7">
        <v>11</v>
      </c>
      <c r="F7" t="s">
        <v>12</v>
      </c>
      <c r="G7" s="3">
        <f>Tecnicos_Base_Instalada[[#This Row],[ATM]]+Tecnicos_Base_Instalada[[#This Row],[Cash Today]]</f>
        <v>75</v>
      </c>
      <c r="I7" t="s">
        <v>26</v>
      </c>
    </row>
    <row r="8" spans="1:9">
      <c r="A8" t="s">
        <v>27</v>
      </c>
      <c r="B8" t="s">
        <v>28</v>
      </c>
      <c r="C8" t="s">
        <v>10</v>
      </c>
      <c r="D8">
        <v>2</v>
      </c>
      <c r="E8">
        <v>19</v>
      </c>
      <c r="F8" t="s">
        <v>19</v>
      </c>
      <c r="G8" s="3">
        <f>Tecnicos_Base_Instalada[[#This Row],[ATM]]+Tecnicos_Base_Instalada[[#This Row],[Cash Today]]</f>
        <v>21</v>
      </c>
      <c r="I8" s="1" t="s">
        <v>29</v>
      </c>
    </row>
    <row r="9" spans="1:9">
      <c r="A9" t="s">
        <v>30</v>
      </c>
      <c r="B9" t="s">
        <v>31</v>
      </c>
      <c r="C9" t="s">
        <v>10</v>
      </c>
      <c r="D9">
        <v>8</v>
      </c>
      <c r="E9">
        <v>19</v>
      </c>
      <c r="F9" t="s">
        <v>19</v>
      </c>
      <c r="G9" s="3">
        <f>Tecnicos_Base_Instalada[[#This Row],[ATM]]+Tecnicos_Base_Instalada[[#This Row],[Cash Today]]</f>
        <v>27</v>
      </c>
    </row>
    <row r="10" spans="1:9">
      <c r="A10" t="s">
        <v>32</v>
      </c>
      <c r="B10" t="s">
        <v>33</v>
      </c>
      <c r="C10" t="s">
        <v>10</v>
      </c>
      <c r="D10">
        <v>78</v>
      </c>
      <c r="E10">
        <v>10</v>
      </c>
      <c r="F10" t="s">
        <v>11</v>
      </c>
      <c r="G10" s="3">
        <f>Tecnicos_Base_Instalada[[#This Row],[ATM]]+Tecnicos_Base_Instalada[[#This Row],[Cash Today]]</f>
        <v>88</v>
      </c>
    </row>
    <row r="11" spans="1:9" ht="18.75">
      <c r="A11" t="s">
        <v>34</v>
      </c>
      <c r="B11" t="s">
        <v>35</v>
      </c>
      <c r="C11" t="s">
        <v>10</v>
      </c>
      <c r="D11">
        <v>11</v>
      </c>
      <c r="E11">
        <v>27</v>
      </c>
      <c r="F11" t="s">
        <v>26</v>
      </c>
      <c r="G11" s="3">
        <f>Tecnicos_Base_Instalada[[#This Row],[ATM]]+Tecnicos_Base_Instalada[[#This Row],[Cash Today]]</f>
        <v>38</v>
      </c>
      <c r="I11" s="2">
        <f>Tecnicos_Base_Instalada[[#Totals],[Cash Today]]+Tecnicos_Base_Instalada[[#Totals],[ATM]]</f>
        <v>1231</v>
      </c>
    </row>
    <row r="12" spans="1:9">
      <c r="A12" t="s">
        <v>36</v>
      </c>
      <c r="B12" t="s">
        <v>37</v>
      </c>
      <c r="C12" t="s">
        <v>10</v>
      </c>
      <c r="D12">
        <v>25</v>
      </c>
      <c r="E12">
        <v>32</v>
      </c>
      <c r="F12" t="s">
        <v>26</v>
      </c>
      <c r="G12" s="3">
        <f>Tecnicos_Base_Instalada[[#This Row],[ATM]]+Tecnicos_Base_Instalada[[#This Row],[Cash Today]]</f>
        <v>57</v>
      </c>
    </row>
    <row r="13" spans="1:9">
      <c r="A13" t="s">
        <v>38</v>
      </c>
      <c r="B13" t="s">
        <v>39</v>
      </c>
      <c r="C13" t="s">
        <v>10</v>
      </c>
      <c r="D13">
        <v>44</v>
      </c>
      <c r="E13">
        <v>2</v>
      </c>
      <c r="F13" t="s">
        <v>15</v>
      </c>
      <c r="G13" s="3">
        <f>Tecnicos_Base_Instalada[[#This Row],[ATM]]+Tecnicos_Base_Instalada[[#This Row],[Cash Today]]</f>
        <v>46</v>
      </c>
    </row>
    <row r="14" spans="1:9">
      <c r="A14" t="s">
        <v>38</v>
      </c>
      <c r="B14" t="s">
        <v>40</v>
      </c>
      <c r="C14" t="s">
        <v>10</v>
      </c>
      <c r="D14">
        <v>36</v>
      </c>
      <c r="E14">
        <v>1</v>
      </c>
      <c r="F14" t="s">
        <v>15</v>
      </c>
      <c r="G14" s="3">
        <f>Tecnicos_Base_Instalada[[#This Row],[ATM]]+Tecnicos_Base_Instalada[[#This Row],[Cash Today]]</f>
        <v>37</v>
      </c>
    </row>
    <row r="15" spans="1:9">
      <c r="A15" t="s">
        <v>41</v>
      </c>
      <c r="B15" t="s">
        <v>42</v>
      </c>
      <c r="C15" t="s">
        <v>43</v>
      </c>
      <c r="D15">
        <v>7</v>
      </c>
      <c r="E15">
        <v>41</v>
      </c>
      <c r="F15" t="s">
        <v>29</v>
      </c>
      <c r="G15" s="3">
        <f>Tecnicos_Base_Instalada[[#This Row],[ATM]]+Tecnicos_Base_Instalada[[#This Row],[Cash Today]]</f>
        <v>48</v>
      </c>
    </row>
    <row r="16" spans="1:9">
      <c r="A16" t="s">
        <v>44</v>
      </c>
      <c r="B16" t="s">
        <v>45</v>
      </c>
      <c r="C16" t="s">
        <v>43</v>
      </c>
      <c r="D16">
        <v>26</v>
      </c>
      <c r="E16">
        <v>58</v>
      </c>
      <c r="F16" t="s">
        <v>29</v>
      </c>
      <c r="G16" s="3">
        <f>Tecnicos_Base_Instalada[[#This Row],[ATM]]+Tecnicos_Base_Instalada[[#This Row],[Cash Today]]</f>
        <v>84</v>
      </c>
    </row>
    <row r="17" spans="1:7">
      <c r="A17" t="s">
        <v>46</v>
      </c>
      <c r="B17" t="s">
        <v>47</v>
      </c>
      <c r="C17" t="s">
        <v>43</v>
      </c>
      <c r="D17">
        <v>43</v>
      </c>
      <c r="E17">
        <v>51</v>
      </c>
      <c r="F17" t="s">
        <v>29</v>
      </c>
      <c r="G17" s="3">
        <f>Tecnicos_Base_Instalada[[#This Row],[ATM]]+Tecnicos_Base_Instalada[[#This Row],[Cash Today]]</f>
        <v>94</v>
      </c>
    </row>
    <row r="18" spans="1:7">
      <c r="A18" t="s">
        <v>48</v>
      </c>
      <c r="B18" t="s">
        <v>49</v>
      </c>
      <c r="C18" t="s">
        <v>10</v>
      </c>
      <c r="D18">
        <v>61</v>
      </c>
      <c r="E18">
        <v>11</v>
      </c>
      <c r="F18" t="s">
        <v>11</v>
      </c>
      <c r="G18" s="3">
        <f>Tecnicos_Base_Instalada[[#This Row],[ATM]]+Tecnicos_Base_Instalada[[#This Row],[Cash Today]]</f>
        <v>72</v>
      </c>
    </row>
    <row r="19" spans="1:7">
      <c r="A19" t="s">
        <v>50</v>
      </c>
      <c r="B19" t="s">
        <v>51</v>
      </c>
      <c r="C19" t="s">
        <v>10</v>
      </c>
      <c r="D19">
        <v>43</v>
      </c>
      <c r="E19">
        <v>28</v>
      </c>
      <c r="F19" t="s">
        <v>12</v>
      </c>
      <c r="G19" s="3">
        <f>Tecnicos_Base_Instalada[[#This Row],[ATM]]+Tecnicos_Base_Instalada[[#This Row],[Cash Today]]</f>
        <v>71</v>
      </c>
    </row>
    <row r="20" spans="1:7">
      <c r="A20" t="s">
        <v>52</v>
      </c>
      <c r="B20" t="s">
        <v>53</v>
      </c>
      <c r="C20" t="s">
        <v>10</v>
      </c>
      <c r="D20">
        <v>71</v>
      </c>
      <c r="E20">
        <v>35</v>
      </c>
      <c r="F20" t="s">
        <v>16</v>
      </c>
      <c r="G20" s="3">
        <f>Tecnicos_Base_Instalada[[#This Row],[ATM]]+Tecnicos_Base_Instalada[[#This Row],[Cash Today]]</f>
        <v>106</v>
      </c>
    </row>
    <row r="21" spans="1:7">
      <c r="A21" t="s">
        <v>54</v>
      </c>
      <c r="B21" t="s">
        <v>55</v>
      </c>
      <c r="C21" t="s">
        <v>10</v>
      </c>
      <c r="D21">
        <v>21</v>
      </c>
      <c r="E21">
        <v>11</v>
      </c>
      <c r="F21" t="s">
        <v>16</v>
      </c>
      <c r="G21" s="3">
        <f>Tecnicos_Base_Instalada[[#This Row],[ATM]]+Tecnicos_Base_Instalada[[#This Row],[Cash Today]]</f>
        <v>32</v>
      </c>
    </row>
    <row r="22" spans="1:7">
      <c r="A22" t="s">
        <v>56</v>
      </c>
      <c r="B22">
        <f>SUBTOTAL(102,B2:B21)</f>
        <v>0</v>
      </c>
      <c r="D22">
        <f>SUBTOTAL(109,D2:D21)</f>
        <v>768</v>
      </c>
      <c r="E22">
        <f>SUBTOTAL(109,E2:E21)</f>
        <v>463</v>
      </c>
      <c r="F22">
        <f>SUBTOTAL(103,Tecnicos_Base_Instalada[Zona Local])</f>
        <v>20</v>
      </c>
      <c r="G22">
        <f>SUBTOTAL(109,G2:G21)</f>
        <v>1231</v>
      </c>
    </row>
  </sheetData>
  <dataValidations count="1">
    <dataValidation type="list" allowBlank="1" showInputMessage="1" showErrorMessage="1" sqref="F2:F21" xr:uid="{74577093-8488-41B7-8C74-89BD979BCEB4}">
      <formula1>$I$2:$I$8</formula1>
    </dataValidation>
  </dataValidation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91D2F6-C84B-4A70-AB4A-2E93EF850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Mariano Deus</cp:lastModifiedBy>
  <cp:revision/>
  <dcterms:created xsi:type="dcterms:W3CDTF">2026-02-23T17:09:52Z</dcterms:created>
  <dcterms:modified xsi:type="dcterms:W3CDTF">2026-04-17T13:41:09Z</dcterms:modified>
  <cp:category/>
  <cp:contentStatus/>
</cp:coreProperties>
</file>