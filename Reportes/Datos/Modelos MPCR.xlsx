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"/>
    </mc:Choice>
  </mc:AlternateContent>
  <xr:revisionPtr revIDLastSave="0" documentId="13_ncr:1_{F038140E-5B25-4CE7-897C-754A732A1C58}" xr6:coauthVersionLast="47" xr6:coauthVersionMax="47" xr10:uidLastSave="{00000000-0000-0000-0000-000000000000}"/>
  <bookViews>
    <workbookView xWindow="20370" yWindow="-855" windowWidth="29040" windowHeight="16440" activeTab="1" xr2:uid="{D0F79182-4C24-480C-8B98-989312C05A0C}"/>
  </bookViews>
  <sheets>
    <sheet name="Hoja1" sheetId="3" r:id="rId1"/>
    <sheet name="MPCR" sheetId="1" r:id="rId2"/>
    <sheet name="Call Rate" sheetId="2" r:id="rId3"/>
  </sheets>
  <definedNames>
    <definedName name="DatosExternos_1" localSheetId="1" hidden="1">MPCR!$S$1:$U$132</definedName>
    <definedName name="DatosExternos_2" localSheetId="2" hidden="1">'Call Rate'!$A$1:$B$27</definedName>
    <definedName name="SegmentaciónDeDatos_MARCA_DESC">#N/A</definedName>
  </definedNames>
  <calcPr calcId="191028"/>
  <pivotCaches>
    <pivotCache cacheId="0" r:id="rId4"/>
    <pivotCache cacheId="1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odelos Base_a402120c-6259-4b1a-892e-0ffaf7bfea64" name="Modelos Base" connection="Consulta - Modelos Base"/>
          <x15:modelTable id="Modelos_7770a154-31b0-49f8-81f5-cd68d604d184" name="Modelos" connection="Consulta - Model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E1" i="2" l="1" a="1"/>
  <c r="E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751F31-A407-4B2D-B13B-0E8313F0340D}" name="Consulta - Modelos" description="Conexión a la consulta 'Modelos' en el libro." type="100" refreshedVersion="8" minRefreshableVersion="5">
    <extLst>
      <ext xmlns:x15="http://schemas.microsoft.com/office/spreadsheetml/2010/11/main" uri="{DE250136-89BD-433C-8126-D09CA5730AF9}">
        <x15:connection id="dce91958-2239-4625-bb28-fcedf545be62">
          <x15:oledbPr connection="Provider=Microsoft.Mashup.OleDb.1;Data Source=$Workbook$;Location=Modelos;Extended Properties=&quot;&quot;">
            <x15:dbTables>
              <x15:dbTable name="Modelos"/>
            </x15:dbTables>
          </x15:oledbPr>
        </x15:connection>
      </ext>
    </extLst>
  </connection>
  <connection id="2" xr16:uid="{95D5339A-5FA8-47AB-BB83-382FA0F17AEE}" name="Consulta - Modelos Base" description="Conexión a la consulta 'Modelos Base' en el libro." type="100" refreshedVersion="8" minRefreshableVersion="5">
    <extLst>
      <ext xmlns:x15="http://schemas.microsoft.com/office/spreadsheetml/2010/11/main" uri="{DE250136-89BD-433C-8126-D09CA5730AF9}">
        <x15:connection id="b90f3b00-2bb3-470e-9dac-28258fd04dbe"/>
      </ext>
    </extLst>
  </connection>
  <connection id="3" xr16:uid="{D0DB1550-5B2A-4980-B105-ECBF94A0291A}" keepAlive="1" name="Consulta - MPCR" description="Conexión a la consulta 'MPCR' en el libro." type="5" refreshedVersion="8" background="1" saveData="1">
    <dbPr connection="Provider=Microsoft.Mashup.OleDb.1;Data Source=$Workbook$;Location=MPCR;Extended Properties=&quot;&quot;" command="SELECT * FROM [MPCR]"/>
  </connection>
  <connection id="4" xr16:uid="{BADB7F51-7213-4FF0-AB19-B386BE4F7BBB}" keepAlive="1" name="ModelConnection_DatosExternos_1" description="Modelo de datos" type="5" refreshedVersion="8" minRefreshableVersion="5" saveData="1">
    <dbPr connection="Data Model Connection" command="Modelos Base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524C2F50-CAE2-4141-A063-2FD5236F3CA4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<sst xmlns="http://schemas.openxmlformats.org/spreadsheetml/2006/main" count="1461" uniqueCount="291">
  <si>
    <t>Fabricante</t>
  </si>
  <si>
    <t>SNBC</t>
  </si>
  <si>
    <t>Etiquetas de fila</t>
  </si>
  <si>
    <t>Diebold Nixdorf</t>
  </si>
  <si>
    <t>CIMA</t>
  </si>
  <si>
    <t>CTE1 SNBC</t>
  </si>
  <si>
    <t>Diebold Procomp</t>
  </si>
  <si>
    <t>GLORY</t>
  </si>
  <si>
    <t>CTE2 SNBC</t>
  </si>
  <si>
    <t>GRG Banking</t>
  </si>
  <si>
    <t>CTI UL SNBC</t>
  </si>
  <si>
    <t>Wincor</t>
  </si>
  <si>
    <t>CTI90 SNBC</t>
  </si>
  <si>
    <t>Total general</t>
  </si>
  <si>
    <t>Modelo Base</t>
  </si>
  <si>
    <t>MODELOS</t>
  </si>
  <si>
    <t>AFD</t>
  </si>
  <si>
    <t>CDM</t>
  </si>
  <si>
    <t>CCDM</t>
  </si>
  <si>
    <t>Dispensador GRG</t>
  </si>
  <si>
    <t>Dispensador GRG H21</t>
  </si>
  <si>
    <t>GRG CAM</t>
  </si>
  <si>
    <t>GRG REC</t>
  </si>
  <si>
    <t>ENA</t>
  </si>
  <si>
    <t>ECRM</t>
  </si>
  <si>
    <t>IDM</t>
  </si>
  <si>
    <t>MPCR</t>
  </si>
  <si>
    <t>Negocio</t>
  </si>
  <si>
    <t>MARCA_DESC</t>
  </si>
  <si>
    <t>MODELO_DESC</t>
  </si>
  <si>
    <t>Recuento</t>
  </si>
  <si>
    <t>Modelos MPCR</t>
  </si>
  <si>
    <t>3700 FL ECRM</t>
  </si>
  <si>
    <t>NEXTGEN 3700</t>
  </si>
  <si>
    <t>OPTEVA ECRM</t>
  </si>
  <si>
    <t>ATM</t>
  </si>
  <si>
    <t>DIEBOLD NIXDORF</t>
  </si>
  <si>
    <t>ATM 828 FL</t>
  </si>
  <si>
    <t>3700 FL ECRM – IDM</t>
  </si>
  <si>
    <t>ATM CS280 RL</t>
  </si>
  <si>
    <t>ATM  OPTEVA 510</t>
  </si>
  <si>
    <t>Diebold Opteva 510 R/L</t>
  </si>
  <si>
    <t>OPTEVA</t>
  </si>
  <si>
    <t>CS2070</t>
  </si>
  <si>
    <t>ATM  OPTEVA 510 EDC R</t>
  </si>
  <si>
    <t>CS2070 FL</t>
  </si>
  <si>
    <t>ATM  OPTEVA 510 EDC R FTA</t>
  </si>
  <si>
    <t>CS2070 RL</t>
  </si>
  <si>
    <t>ATM  OPTEVA 510 EDC R FTA IP</t>
  </si>
  <si>
    <t>CS280</t>
  </si>
  <si>
    <t>ATM  OPTEVA 510 F/L</t>
  </si>
  <si>
    <t>Diebold Opteva 510 F/L</t>
  </si>
  <si>
    <t>CS280 FL</t>
  </si>
  <si>
    <t>ATM  OPTEVA 510 FTA IP</t>
  </si>
  <si>
    <t>CS280 RL</t>
  </si>
  <si>
    <t>ATM  OPTEVA 510 IP</t>
  </si>
  <si>
    <t>CS3700 RL</t>
  </si>
  <si>
    <t>ATM  OPTEVA 522</t>
  </si>
  <si>
    <t>Diebold Opteva 522 R/L</t>
  </si>
  <si>
    <t>GRG</t>
  </si>
  <si>
    <t>DT-7000H22N RL</t>
  </si>
  <si>
    <t>ATM  OPTEVA 522 EDC R</t>
  </si>
  <si>
    <t>DT-7000H22V</t>
  </si>
  <si>
    <t>ATM  OPTEVA 522 EDC R IP</t>
  </si>
  <si>
    <t>DT-7000H22VL</t>
  </si>
  <si>
    <t>ATM  OPTEVA 522 EDC R RB</t>
  </si>
  <si>
    <t>DT-7000H22VLR</t>
  </si>
  <si>
    <t>ATM  OPTEVA 522 EDC R/G VOZ</t>
  </si>
  <si>
    <t>DT-7000H34N</t>
  </si>
  <si>
    <t>ATM  OPTEVA 522 G VOZ</t>
  </si>
  <si>
    <t>DT-7000H34NL</t>
  </si>
  <si>
    <t>ATM  OPTEVA 522 G VOZ RB</t>
  </si>
  <si>
    <t>DT-7000H68VLR</t>
  </si>
  <si>
    <t>ATM  OPTEVA 522 IP</t>
  </si>
  <si>
    <t>GUNNEBO</t>
  </si>
  <si>
    <t>CAJA ROBOTIZADA</t>
  </si>
  <si>
    <t>ATM  OPTEVA 522 RB</t>
  </si>
  <si>
    <t>ATM  OPTEVA 620 R/L</t>
  </si>
  <si>
    <t>Diebold Opteva 620 R/L</t>
  </si>
  <si>
    <t>ATM  OPTEVA 620 R/L 3DES</t>
  </si>
  <si>
    <t>ATM  OPTEVA 620 R/L EDC R</t>
  </si>
  <si>
    <t>ATM  OPTEVA 620 R/L EDC R FTA</t>
  </si>
  <si>
    <t>ATM  OPTEVA 620 R/L EDC R IP</t>
  </si>
  <si>
    <t>ATM  OPTEVA 620 R/L FTA</t>
  </si>
  <si>
    <t>ATM  OPTEVA 620 R/L FTA IP</t>
  </si>
  <si>
    <t>ATM  OPTEVA 620 R/L IP</t>
  </si>
  <si>
    <t>ATM  OPTEVA 620 R/L RB</t>
  </si>
  <si>
    <t xml:space="preserve">Diebold Opteva 828 </t>
  </si>
  <si>
    <t>ATM CD OPTEVA 520</t>
  </si>
  <si>
    <t>Diebold Opteva 520 R/L</t>
  </si>
  <si>
    <t>ATM CD OPTEVA 520 EDC R</t>
  </si>
  <si>
    <t>ATM CD OPTEVA 520 F/L</t>
  </si>
  <si>
    <t>Diebold Opteva 520 F/L</t>
  </si>
  <si>
    <t>ATM CD OPTEVA 520 R/L</t>
  </si>
  <si>
    <t>ATM CD OPTEVA 520 R/L 5°GAV</t>
  </si>
  <si>
    <t>ATM FULL OPTEVA 720 F/L</t>
  </si>
  <si>
    <t>Diebold Opteva 720 F/L</t>
  </si>
  <si>
    <t>ATM FULL OPTEVA 720 F/L 5ºGAV</t>
  </si>
  <si>
    <t>ATM FULL OPTEVA 720 F/L ENA</t>
  </si>
  <si>
    <t>OPTEVA MI</t>
  </si>
  <si>
    <t>ATM FULL OPTEVA 720 F/L ENA IDM</t>
  </si>
  <si>
    <t>ATM FULL OPTEVA 720 F/L FTA</t>
  </si>
  <si>
    <t>ATM FULL OPTEVA 720 F/L FTA RB</t>
  </si>
  <si>
    <t>ATM FULL OPTEVA 720 F/L IP</t>
  </si>
  <si>
    <t>ATM FULL OPTEVA 720 R/L</t>
  </si>
  <si>
    <t>Diebold Opteva 720 R/L</t>
  </si>
  <si>
    <t>ATM FULL OPTEVA 720 R/L 3DES</t>
  </si>
  <si>
    <t>ATM FULL OPTEVA 720 R/L 3DES EDC R</t>
  </si>
  <si>
    <t>ATM FULL OPTEVA 720 R/L 3DES IP</t>
  </si>
  <si>
    <t>ATM FULL OPTEVA 720 R/L 3DES RB</t>
  </si>
  <si>
    <t>ATM FULL OPTEVA 720 R/L 3DES/5ºGAV</t>
  </si>
  <si>
    <t>ATM FULL OPTEVA 720 R/L 5°GAV/EDC R/RB</t>
  </si>
  <si>
    <t>ATM FULL OPTEVA 720 R/L 5ºGAV</t>
  </si>
  <si>
    <t>ATM FULL OPTEVA 720 R/L 5ºGAV / EDC</t>
  </si>
  <si>
    <t>ATM FULL OPTEVA 720 R/L 5ºGAV EDC R/G VOZ RB</t>
  </si>
  <si>
    <t>ATM FULL OPTEVA 720 R/L 5ºGAV RB</t>
  </si>
  <si>
    <t>ATM FULL OPTEVA 720 R/L 5ºGAV/G VOZ</t>
  </si>
  <si>
    <t>ATM FULL OPTEVA 720 R/L 5ºGAV/G VOZ RB</t>
  </si>
  <si>
    <t>ATM FULL OPTEVA 720 R/L EDC R</t>
  </si>
  <si>
    <t>ATM FULL OPTEVA 720 R/L EDC R FTA</t>
  </si>
  <si>
    <t>ATM FULL OPTEVA 720 R/L ENA</t>
  </si>
  <si>
    <t>ATM FULL OPTEVA 720 R/L ENA 3DES EDC R</t>
  </si>
  <si>
    <t>ATM FULL OPTEVA 720 R/L ENA 3DES EDC R EMV</t>
  </si>
  <si>
    <t>ATM FULL OPTEVA 720 R/L ENA 3DES EDC R EMV RB</t>
  </si>
  <si>
    <t>ATM FULL OPTEVA 720 R/L ENA EDC R</t>
  </si>
  <si>
    <t>ATM FULL OPTEVA 720 R/L ENA FTA RB</t>
  </si>
  <si>
    <t>ATM FULL OPTEVA 720 R/L FTA</t>
  </si>
  <si>
    <t>ATM FULL OPTEVA 720 R/L ENA IDM</t>
  </si>
  <si>
    <t>ATM FULL OPTEVA 720 R/L FTA IP</t>
  </si>
  <si>
    <t>ATM FULL OPTEVA 720 R/L ENA IDM EDC R EMV</t>
  </si>
  <si>
    <t>ATM FULL OPTEVA 720 R/L G VOZ</t>
  </si>
  <si>
    <t>ATM FULL OPTEVA 720 R/L ENA IDM EDC R/5 GAV</t>
  </si>
  <si>
    <t>ATM FULL OPTEVA 720 R/L RB</t>
  </si>
  <si>
    <t>ATM FULL OPTEVA 720 R/L ENA IDM RB</t>
  </si>
  <si>
    <t>ATM OPTEVA 368 R/L</t>
  </si>
  <si>
    <t>ATM FULL OPTEVA 720 R/L ENA RB</t>
  </si>
  <si>
    <t>ATM OPTEVA 510 R/L 3DES</t>
  </si>
  <si>
    <t>ATM FULL OPTEVA 720 R/L ENA/ 5 GAV</t>
  </si>
  <si>
    <t>ATM OPTEVA 510 R/L 3DES IP</t>
  </si>
  <si>
    <t>ATM FULL OPTEVA 720 R/L ENA/ 5 GAV EDC R</t>
  </si>
  <si>
    <t>ATM OPTEVA 522  NDX SP4</t>
  </si>
  <si>
    <t>ATM FULL OPTEVA 720 R/L ENA/ 5 GAV EDC R RB</t>
  </si>
  <si>
    <t>ATM OPTEVA 522 5ºGAV</t>
  </si>
  <si>
    <t>ATM FULL OPTEVA 720 R/L ENA/ 5 GAV FTA</t>
  </si>
  <si>
    <t>ATM OPTEVA 522 5ºGAV RB</t>
  </si>
  <si>
    <t>ATM FULL OPTEVA 720 R/L ENA/ 5 GAV RB</t>
  </si>
  <si>
    <t>ATM OPTEVA 522 EDC R/G VOZ RB</t>
  </si>
  <si>
    <t>ATM FULL OPTEVA 720 R/L ENA/ 5 GAV/G VOZ</t>
  </si>
  <si>
    <t>OPTEVA 828</t>
  </si>
  <si>
    <t>ATM FULL OPTEVA 720 R/L ENA/3DES</t>
  </si>
  <si>
    <t>ATM FULL OPTEVA 720 R/L IDM</t>
  </si>
  <si>
    <t>Diebold Opteva 368</t>
  </si>
  <si>
    <t>ATM OPTEVA 868 ECRM</t>
  </si>
  <si>
    <t>Diebold Opteva 868</t>
  </si>
  <si>
    <t>ATM OPTEVA 868 ECRM DISP IDM</t>
  </si>
  <si>
    <t>NEXTGEN 3700 R/L</t>
  </si>
  <si>
    <t>DN200V RL</t>
  </si>
  <si>
    <t>DN200V RECICLADOR</t>
  </si>
  <si>
    <t>DN</t>
  </si>
  <si>
    <t>TAS  OPTEVA 522</t>
  </si>
  <si>
    <t>TAS CD OPTEVA 520 R/L</t>
  </si>
  <si>
    <t>OPTEVA TAS</t>
  </si>
  <si>
    <t>TAS OPTEVA 520 R/L</t>
  </si>
  <si>
    <t>TAS OPTEVA 522 FL – TAS</t>
  </si>
  <si>
    <t>TAS OPTEVA 720 F/L</t>
  </si>
  <si>
    <t>TAS MI</t>
  </si>
  <si>
    <t>TAS OPTEVA 720 F/L ENA</t>
  </si>
  <si>
    <t>TAS OPTEVA 720 F/L ENA IDM</t>
  </si>
  <si>
    <t>TAS OPTEVA 720 R/L</t>
  </si>
  <si>
    <t>TAS OPTEVA 720 R/L ENA</t>
  </si>
  <si>
    <t>TAS OPTEVA 720 R/L ENA2</t>
  </si>
  <si>
    <t>TAS OPTEVA 720 R/L ENA IDM</t>
  </si>
  <si>
    <t>TAS OPTEVA 868 ECRM IDM</t>
  </si>
  <si>
    <t>CIMA SDM500</t>
  </si>
  <si>
    <t>TAS OPTEVA 868 ECRM DEP IDM</t>
  </si>
  <si>
    <t>TAS ECRM</t>
  </si>
  <si>
    <t>TDE 4500</t>
  </si>
  <si>
    <t>Procomp TDE4500</t>
  </si>
  <si>
    <t>TDE</t>
  </si>
  <si>
    <t>TDE 4500  IDM</t>
  </si>
  <si>
    <t>TDE MI</t>
  </si>
  <si>
    <t>CTE2 SNBC -C</t>
  </si>
  <si>
    <t>TDE 4500 FL</t>
  </si>
  <si>
    <t>CTI UL</t>
  </si>
  <si>
    <t>TDE 4500 FL IDM</t>
  </si>
  <si>
    <t>CTI UL- C</t>
  </si>
  <si>
    <t>TDE 4500 RL</t>
  </si>
  <si>
    <t>TDE 4500 RL IDM</t>
  </si>
  <si>
    <t>CTI90 SNBC - C</t>
  </si>
  <si>
    <t>TDE 4500 Slim</t>
  </si>
  <si>
    <t>DI90S</t>
  </si>
  <si>
    <t>TDE 4533-020</t>
  </si>
  <si>
    <t>GLORY P1000</t>
  </si>
  <si>
    <t>TDE 4533-021</t>
  </si>
  <si>
    <t>TDE 4533-022</t>
  </si>
  <si>
    <t>GLORY P1001</t>
  </si>
  <si>
    <t>TDE 4533-023</t>
  </si>
  <si>
    <t>TDE 4535</t>
  </si>
  <si>
    <t>GLORY P500</t>
  </si>
  <si>
    <t>GRG H22</t>
  </si>
  <si>
    <t>PMINI-MEI</t>
  </si>
  <si>
    <t>TAS</t>
  </si>
  <si>
    <t>GRG H68</t>
  </si>
  <si>
    <t>CAM</t>
  </si>
  <si>
    <t>GRG H34</t>
  </si>
  <si>
    <t>DT-7000I21</t>
  </si>
  <si>
    <t>GRG H21</t>
  </si>
  <si>
    <t>WINCOR</t>
  </si>
  <si>
    <t>WINCOR MI</t>
  </si>
  <si>
    <t>GLORY TAS</t>
  </si>
  <si>
    <t>MEI</t>
  </si>
  <si>
    <t>PROSEGUR</t>
  </si>
  <si>
    <t>Prosegur</t>
  </si>
  <si>
    <t>DT-7000H34N (FECT)</t>
  </si>
  <si>
    <t>Call Rate</t>
  </si>
  <si>
    <t>Reciclador</t>
  </si>
  <si>
    <t>DT-7000H34N (FET)</t>
  </si>
  <si>
    <t>DT-7000H68VLR+BAM</t>
  </si>
  <si>
    <t>TAS OPTEVA 522 RL – TAS</t>
  </si>
  <si>
    <t>ATM  OPTEVA 522 F/L</t>
  </si>
  <si>
    <t>DT-7000H34N (FECT) S/CHK</t>
  </si>
  <si>
    <t>DT-7000H34N (FET) S/CHK</t>
  </si>
  <si>
    <t>DT-7000H34N S/CHK</t>
  </si>
  <si>
    <t>DT-7000H68NLR ATM</t>
  </si>
  <si>
    <t>DT-7000H68NLR TAS</t>
  </si>
  <si>
    <t>GRG FULL</t>
  </si>
  <si>
    <t>GRG CASH</t>
  </si>
  <si>
    <t>DT-7000H68VLR ATM</t>
  </si>
  <si>
    <t>VARIOS</t>
  </si>
  <si>
    <t>ATM  OPTEVA 522 R/L</t>
  </si>
  <si>
    <t>NCR</t>
  </si>
  <si>
    <t>ATM CD 6622 RL</t>
  </si>
  <si>
    <t>ATM CD 6623 RL</t>
  </si>
  <si>
    <t>ATM CD NCR 6622 RL</t>
  </si>
  <si>
    <t>ATM NCR 5675 RL</t>
  </si>
  <si>
    <t>ATM NCR 5867 RL</t>
  </si>
  <si>
    <t>ATM NCR 5870 FL</t>
  </si>
  <si>
    <t>ATM NCR 5875 FL</t>
  </si>
  <si>
    <t>ATM NCR 5875 RL</t>
  </si>
  <si>
    <t>ATM NCR 5877 FL</t>
  </si>
  <si>
    <t>ATM NCR 6622 FL</t>
  </si>
  <si>
    <t>ATM NCR 6622 RL</t>
  </si>
  <si>
    <t>ATM NCR 6623 FL</t>
  </si>
  <si>
    <t>ATM NCR 6623 RL</t>
  </si>
  <si>
    <t>ATM NCR 6627 RL</t>
  </si>
  <si>
    <t>ATM NCR 6632 FL</t>
  </si>
  <si>
    <t>ATM NCR 6632 RL</t>
  </si>
  <si>
    <t>ATM NCR 6634 RL</t>
  </si>
  <si>
    <t>ATM NCR 6682 FL</t>
  </si>
  <si>
    <t>ATM NCR 6682 RL</t>
  </si>
  <si>
    <t>ATM OPTEVA 510 R/L</t>
  </si>
  <si>
    <t>ATM OPTEVA 520 R/L</t>
  </si>
  <si>
    <t>ATM OPTEVA 522 NDX/5ºGAV</t>
  </si>
  <si>
    <t>ATM OPTEVA 722 R/L</t>
  </si>
  <si>
    <t>GENERICO</t>
  </si>
  <si>
    <t>AUTO TECNICO LITORAL</t>
  </si>
  <si>
    <t>AUTO TECNICO MEDITERRANEA</t>
  </si>
  <si>
    <t>AUTO TECNICO NEA</t>
  </si>
  <si>
    <t>AUTO TECNICO NOA</t>
  </si>
  <si>
    <t>AUTO TECNICO PATAGONIA</t>
  </si>
  <si>
    <t>AUTO TECNICO SUROESTE</t>
  </si>
  <si>
    <t>SMART BOX</t>
  </si>
  <si>
    <t>CAJAS TRAD</t>
  </si>
  <si>
    <t>Devolucion de partes</t>
  </si>
  <si>
    <t>TOYOTA</t>
  </si>
  <si>
    <t>ETIOS X 1.5 6M/T 5P HATCHBACK</t>
  </si>
  <si>
    <t>ETIOS X 1.5 SEDAN</t>
  </si>
  <si>
    <t>VOLKSWAGEN</t>
  </si>
  <si>
    <t>GOL TREND TRENDLINE 1.6L 5P</t>
  </si>
  <si>
    <t>HILUX 4X4 CD SR 3.0 TDI - C3</t>
  </si>
  <si>
    <t>HILUX 4X4 D/C DX 2.4 TDI 6M/T</t>
  </si>
  <si>
    <t>RENAULT</t>
  </si>
  <si>
    <t>KANGOO II EXPRESS CONFORT 1.6 SCE</t>
  </si>
  <si>
    <t>KANGOO II EXPRESS PROFESIONAL 1.6 SCE</t>
  </si>
  <si>
    <t>KANGOO PH3 CONFORT 1.6 1P</t>
  </si>
  <si>
    <t>HYOSUNG</t>
  </si>
  <si>
    <t>MX5700 RL</t>
  </si>
  <si>
    <t>Proyecto</t>
  </si>
  <si>
    <t>RELEVAMIENTO</t>
  </si>
  <si>
    <t>ORUS</t>
  </si>
  <si>
    <t>SANDERO LIFE 1.6</t>
  </si>
  <si>
    <t>Stock Regional</t>
  </si>
  <si>
    <t>TAREAS ESP</t>
  </si>
  <si>
    <t>Smart Box</t>
  </si>
  <si>
    <t>Procash 280</t>
  </si>
  <si>
    <t>Gunnebo</t>
  </si>
  <si>
    <t>Wincor 2070</t>
  </si>
  <si>
    <t>Wincor 2070 F/L</t>
  </si>
  <si>
    <t>Procash 280 F/L</t>
  </si>
  <si>
    <t>GRG Reciclador</t>
  </si>
  <si>
    <t>CTD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</si>
</sst>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4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9" fontId="0" fillId="0" borderId="0" xfId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</cellXfs>
  <cellStyles count="2">
    <cellStyle name="Normal" xfId="0" builtinId="0"/>
    <cellStyle name="Porcentaje" xfId="1" builtinId="5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742950</xdr:colOff>
      <xdr:row>0</xdr:row>
      <xdr:rowOff>57150</xdr:rowOff>
    </xdr:from>
    <xdr:to>
      <xdr:col>17</xdr:col>
      <xdr:colOff>1047750</xdr:colOff>
      <xdr:row>13</xdr:row>
      <xdr:rowOff>85725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ARCA_DESC">
              <a:extLst>
                <a:ext uri="{FF2B5EF4-FFF2-40B4-BE49-F238E27FC236}">
                  <a16:creationId xmlns:a16="http://schemas.microsoft.com/office/drawing/2014/main" id="{0E020AF5-E964-939F-EA2B-0C40BF73FB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_DES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87825" y="57150"/>
              <a:ext cx="1828800" cy="2505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18</xdr:row>
      <xdr:rowOff>38100</xdr:rowOff>
    </xdr:from>
    <xdr:to>
      <xdr:col>8</xdr:col>
      <xdr:colOff>915309</xdr:colOff>
      <xdr:row>32</xdr:row>
      <xdr:rowOff>152788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315E8C-9688-4646-8027-45FF914C5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0" y="3467100"/>
          <a:ext cx="6516009" cy="27816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Deus" refreshedDate="45925.470398148151" createdVersion="8" refreshedVersion="8" minRefreshableVersion="3" recordCount="26" xr:uid="{F7D14487-DC07-43C0-8270-4D9569805F10}">
  <cacheSource type="worksheet">
    <worksheetSource name="MPCR"/>
  </cacheSource>
  <cacheFields count="3">
    <cacheField name="Fabricante" numFmtId="0">
      <sharedItems count="10">
        <s v="CIMA"/>
        <s v="SNBC"/>
        <s v="Diebold Nixdorf"/>
        <s v="GLORY"/>
        <s v="GRG Banking"/>
        <s v="GUNNEBO"/>
        <s v="MEI"/>
        <s v="Prosegur"/>
        <s v="Diebold Procomp"/>
        <s v="Wincor"/>
      </sharedItems>
    </cacheField>
    <cacheField name="MPCR" numFmtId="0">
      <sharedItems count="26">
        <s v="CIMA"/>
        <s v="CTE1 SNBC"/>
        <s v="CTE2 SNBC"/>
        <s v="CTI UL SNBC"/>
        <s v="CTI90 SNBC"/>
        <s v="DN"/>
        <s v="GLORY P1000"/>
        <s v="GLORY P1001"/>
        <s v="GLORY P500"/>
        <s v="GLORY TAS"/>
        <s v="GRG H21"/>
        <s v="GRG H22"/>
        <s v="GRG H34"/>
        <s v="GRG H68"/>
        <s v="GUNNEBO"/>
        <s v="MEI"/>
        <s v="OPTEVA"/>
        <s v="OPTEVA ECRM"/>
        <s v="OPTEVA MI"/>
        <s v="PROSEGUR"/>
        <s v="TAS ECRM"/>
        <s v="TAS MI"/>
        <s v="TDE"/>
        <s v="TDE MI"/>
        <s v="WINCOR"/>
        <s v="WINCOR MI"/>
      </sharedItems>
    </cacheField>
    <cacheField name="Call Rate" numFmtId="0">
      <sharedItems containsSemiMixedTypes="0" containsString="0" containsNumber="1" minValue="0.2" maxValue="1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Deus" refreshedDate="45925.470400231483" createdVersion="8" refreshedVersion="8" minRefreshableVersion="3" recordCount="163" xr:uid="{EAF4D6D2-694C-4D6C-B01E-A497019834CB}">
  <cacheSource type="worksheet">
    <worksheetSource name="Modelos"/>
  </cacheSource>
  <cacheFields count="15">
    <cacheField name="Fabricante" numFmtId="0">
      <sharedItems count="10">
        <s v="Diebold Nixdorf"/>
        <s v="Diebold Procomp"/>
        <s v="GRG Banking"/>
        <s v="Wincor"/>
        <s v="CIMA"/>
        <s v="GLORY"/>
        <s v="MEI"/>
        <s v="SNBC"/>
        <s v="GUNNEBO"/>
        <s v="Prosegur"/>
      </sharedItems>
    </cacheField>
    <cacheField name="Modelo Base" numFmtId="0">
      <sharedItems/>
    </cacheField>
    <cacheField name="MODELOS" numFmtId="0">
      <sharedItems count="40">
        <s v="NEXTGEN 3700"/>
        <s v="Diebold Opteva 510 R/L"/>
        <s v="Diebold Opteva 510 F/L"/>
        <s v="Diebold Opteva 522 R/L"/>
        <s v="Diebold Opteva 620 R/L"/>
        <s v="Diebold Opteva 828 "/>
        <s v="Diebold Opteva 520 R/L"/>
        <s v="Diebold Opteva 520 F/L"/>
        <s v="Diebold Opteva 720 F/L"/>
        <s v="Diebold Opteva 720 R/L"/>
        <s v="Diebold Opteva 368"/>
        <s v="Diebold Opteva 868"/>
        <s v="NEXTGEN 3700 R/L"/>
        <s v="DN200V RECICLADOR"/>
        <s v="Procomp TDE4500"/>
        <s v="GRG H21"/>
        <s v="GRG CASH"/>
        <s v="GRG FULL"/>
        <s v="GRG MI"/>
        <s v="CS280 R/L"/>
        <s v="CINEO 2070"/>
        <s v="CS280 F/L"/>
        <s v="CS2100"/>
        <s v="CIMA"/>
        <s v="GLORY P1000"/>
        <s v="GLORY P1001"/>
        <s v="GLORY P500"/>
        <s v="GLORY"/>
        <s v="MEI"/>
        <s v="CTE1 SNBC"/>
        <s v="CTE2 SNBC"/>
        <s v="CTI UL SNBC"/>
        <s v="CTI90 SNBC"/>
        <s v="GUNNEBO"/>
        <s v="Desarrollo Prosegur"/>
        <s v="GRG H34N" u="1"/>
        <s v="GRG H22V" u="1"/>
        <s v="GRG H22VLR" u="1"/>
        <s v="GRG H68VLR" u="1"/>
        <s v="GRG H68NLR" u="1"/>
      </sharedItems>
    </cacheField>
    <cacheField name="AFD" numFmtId="0">
      <sharedItems containsBlank="1"/>
    </cacheField>
    <cacheField name="CDM" numFmtId="0">
      <sharedItems containsBlank="1"/>
    </cacheField>
    <cacheField name="CCDM" numFmtId="0">
      <sharedItems containsBlank="1"/>
    </cacheField>
    <cacheField name="Dispensador GRG" numFmtId="0">
      <sharedItems containsBlank="1"/>
    </cacheField>
    <cacheField name="Dispensador GRG H21" numFmtId="0">
      <sharedItems containsBlank="1"/>
    </cacheField>
    <cacheField name="GRG CAM" numFmtId="0">
      <sharedItems containsBlank="1"/>
    </cacheField>
    <cacheField name="GRG REC" numFmtId="0">
      <sharedItems containsBlank="1"/>
    </cacheField>
    <cacheField name="ENA" numFmtId="0">
      <sharedItems containsBlank="1"/>
    </cacheField>
    <cacheField name="ECRM" numFmtId="0">
      <sharedItems containsBlank="1"/>
    </cacheField>
    <cacheField name="IDM" numFmtId="0">
      <sharedItems containsBlank="1"/>
    </cacheField>
    <cacheField name="MPCR" numFmtId="0">
      <sharedItems/>
    </cacheField>
    <cacheField name="Negoc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n v="0.35"/>
  </r>
  <r>
    <x v="1"/>
    <x v="1"/>
    <n v="0.35"/>
  </r>
  <r>
    <x v="1"/>
    <x v="2"/>
    <n v="0.35"/>
  </r>
  <r>
    <x v="1"/>
    <x v="3"/>
    <n v="0.35"/>
  </r>
  <r>
    <x v="1"/>
    <x v="4"/>
    <n v="0.35"/>
  </r>
  <r>
    <x v="2"/>
    <x v="5"/>
    <n v="0.5"/>
  </r>
  <r>
    <x v="3"/>
    <x v="6"/>
    <n v="0.35"/>
  </r>
  <r>
    <x v="3"/>
    <x v="7"/>
    <n v="0.35"/>
  </r>
  <r>
    <x v="3"/>
    <x v="8"/>
    <n v="0.35"/>
  </r>
  <r>
    <x v="3"/>
    <x v="9"/>
    <n v="0.35"/>
  </r>
  <r>
    <x v="4"/>
    <x v="10"/>
    <n v="0.5"/>
  </r>
  <r>
    <x v="4"/>
    <x v="11"/>
    <n v="0.5"/>
  </r>
  <r>
    <x v="4"/>
    <x v="12"/>
    <n v="0.5"/>
  </r>
  <r>
    <x v="4"/>
    <x v="13"/>
    <n v="0.5"/>
  </r>
  <r>
    <x v="5"/>
    <x v="14"/>
    <n v="0.2"/>
  </r>
  <r>
    <x v="6"/>
    <x v="15"/>
    <n v="0.35"/>
  </r>
  <r>
    <x v="2"/>
    <x v="16"/>
    <n v="0.5"/>
  </r>
  <r>
    <x v="2"/>
    <x v="17"/>
    <n v="0.7"/>
  </r>
  <r>
    <x v="2"/>
    <x v="18"/>
    <n v="0.5"/>
  </r>
  <r>
    <x v="7"/>
    <x v="19"/>
    <n v="1.3"/>
  </r>
  <r>
    <x v="2"/>
    <x v="20"/>
    <n v="1"/>
  </r>
  <r>
    <x v="2"/>
    <x v="21"/>
    <n v="0.5"/>
  </r>
  <r>
    <x v="8"/>
    <x v="22"/>
    <n v="0.3"/>
  </r>
  <r>
    <x v="8"/>
    <x v="23"/>
    <n v="0.5"/>
  </r>
  <r>
    <x v="9"/>
    <x v="24"/>
    <n v="0.5"/>
  </r>
  <r>
    <x v="9"/>
    <x v="25"/>
    <n v="0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x v="0"/>
    <s v="3700 FL ECRM"/>
    <x v="0"/>
    <m/>
    <m/>
    <m/>
    <m/>
    <m/>
    <m/>
    <m/>
    <m/>
    <s v="ECRM"/>
    <m/>
    <s v="OPTEVA ECRM"/>
    <s v="ATM"/>
  </r>
  <r>
    <x v="0"/>
    <s v="3700 FL ECRM – IDM"/>
    <x v="0"/>
    <m/>
    <m/>
    <m/>
    <m/>
    <m/>
    <m/>
    <m/>
    <m/>
    <s v="ECRM"/>
    <s v="IDM"/>
    <s v="OPTEVA ECRM"/>
    <s v="ATM"/>
  </r>
  <r>
    <x v="0"/>
    <s v="ATM  OPTEVA 510"/>
    <x v="1"/>
    <s v="AFD"/>
    <m/>
    <m/>
    <m/>
    <m/>
    <m/>
    <m/>
    <m/>
    <m/>
    <m/>
    <s v="OPTEVA"/>
    <s v="ATM"/>
  </r>
  <r>
    <x v="0"/>
    <s v="ATM  OPTEVA 510 EDC R"/>
    <x v="1"/>
    <s v="AFD"/>
    <m/>
    <m/>
    <m/>
    <m/>
    <m/>
    <m/>
    <m/>
    <m/>
    <m/>
    <s v="OPTEVA"/>
    <s v="ATM"/>
  </r>
  <r>
    <x v="0"/>
    <s v="ATM  OPTEVA 510 EDC R FTA"/>
    <x v="1"/>
    <s v="AFD"/>
    <m/>
    <m/>
    <m/>
    <m/>
    <m/>
    <m/>
    <m/>
    <m/>
    <m/>
    <s v="OPTEVA"/>
    <s v="ATM"/>
  </r>
  <r>
    <x v="0"/>
    <s v="ATM  OPTEVA 510 EDC R FTA IP"/>
    <x v="1"/>
    <s v="AFD"/>
    <m/>
    <m/>
    <m/>
    <m/>
    <m/>
    <m/>
    <m/>
    <m/>
    <m/>
    <s v="OPTEVA"/>
    <s v="ATM"/>
  </r>
  <r>
    <x v="0"/>
    <s v="ATM  OPTEVA 510 F/L"/>
    <x v="2"/>
    <s v="AFD"/>
    <m/>
    <m/>
    <m/>
    <m/>
    <m/>
    <m/>
    <m/>
    <m/>
    <m/>
    <s v="OPTEVA"/>
    <s v="ATM"/>
  </r>
  <r>
    <x v="0"/>
    <s v="ATM  OPTEVA 522 F/L"/>
    <x v="2"/>
    <s v="AFD"/>
    <m/>
    <m/>
    <m/>
    <m/>
    <m/>
    <m/>
    <m/>
    <m/>
    <m/>
    <s v="OPTEVA"/>
    <s v="ATM"/>
  </r>
  <r>
    <x v="0"/>
    <s v="ATM  OPTEVA 510 FTA IP"/>
    <x v="1"/>
    <s v="AFD"/>
    <m/>
    <m/>
    <m/>
    <m/>
    <m/>
    <m/>
    <m/>
    <m/>
    <m/>
    <s v="OPTEVA"/>
    <s v="ATM"/>
  </r>
  <r>
    <x v="0"/>
    <s v="ATM  OPTEVA 510 IP"/>
    <x v="1"/>
    <s v="AFD"/>
    <m/>
    <m/>
    <m/>
    <m/>
    <m/>
    <m/>
    <m/>
    <m/>
    <m/>
    <s v="OPTEVA"/>
    <s v="ATM"/>
  </r>
  <r>
    <x v="0"/>
    <s v="ATM  OPTEVA 522"/>
    <x v="3"/>
    <s v="AFD"/>
    <m/>
    <m/>
    <m/>
    <m/>
    <m/>
    <m/>
    <m/>
    <m/>
    <m/>
    <s v="OPTEVA"/>
    <s v="ATM"/>
  </r>
  <r>
    <x v="0"/>
    <s v="ATM  OPTEVA 522 EDC R"/>
    <x v="3"/>
    <s v="AFD"/>
    <m/>
    <m/>
    <m/>
    <m/>
    <m/>
    <m/>
    <m/>
    <m/>
    <m/>
    <s v="OPTEVA"/>
    <s v="ATM"/>
  </r>
  <r>
    <x v="0"/>
    <s v="ATM  OPTEVA 522 EDC R IP"/>
    <x v="3"/>
    <s v="AFD"/>
    <m/>
    <m/>
    <m/>
    <m/>
    <m/>
    <m/>
    <m/>
    <m/>
    <m/>
    <s v="OPTEVA"/>
    <s v="ATM"/>
  </r>
  <r>
    <x v="0"/>
    <s v="ATM  OPTEVA 522 EDC R RB"/>
    <x v="3"/>
    <s v="AFD"/>
    <m/>
    <m/>
    <m/>
    <m/>
    <m/>
    <m/>
    <m/>
    <m/>
    <m/>
    <s v="OPTEVA"/>
    <s v="ATM"/>
  </r>
  <r>
    <x v="0"/>
    <s v="ATM  OPTEVA 522 EDC R/G VOZ"/>
    <x v="3"/>
    <s v="AFD"/>
    <m/>
    <m/>
    <m/>
    <m/>
    <m/>
    <m/>
    <m/>
    <m/>
    <m/>
    <s v="OPTEVA"/>
    <s v="ATM"/>
  </r>
  <r>
    <x v="0"/>
    <s v="ATM  OPTEVA 522 G VOZ"/>
    <x v="3"/>
    <s v="AFD"/>
    <m/>
    <m/>
    <m/>
    <m/>
    <m/>
    <m/>
    <m/>
    <m/>
    <m/>
    <s v="OPTEVA"/>
    <s v="ATM"/>
  </r>
  <r>
    <x v="0"/>
    <s v="ATM  OPTEVA 522 G VOZ RB"/>
    <x v="3"/>
    <s v="AFD"/>
    <m/>
    <m/>
    <m/>
    <m/>
    <m/>
    <m/>
    <m/>
    <m/>
    <m/>
    <s v="OPTEVA"/>
    <s v="ATM"/>
  </r>
  <r>
    <x v="0"/>
    <s v="ATM  OPTEVA 522 IP"/>
    <x v="3"/>
    <s v="AFD"/>
    <m/>
    <m/>
    <m/>
    <m/>
    <m/>
    <m/>
    <m/>
    <m/>
    <m/>
    <s v="OPTEVA"/>
    <s v="ATM"/>
  </r>
  <r>
    <x v="0"/>
    <s v="ATM  OPTEVA 522 RB"/>
    <x v="3"/>
    <s v="AFD"/>
    <m/>
    <m/>
    <m/>
    <m/>
    <m/>
    <m/>
    <m/>
    <m/>
    <m/>
    <s v="OPTEVA"/>
    <s v="ATM"/>
  </r>
  <r>
    <x v="0"/>
    <s v="ATM  OPTEVA 620 R/L"/>
    <x v="4"/>
    <s v="AFD"/>
    <m/>
    <m/>
    <m/>
    <m/>
    <m/>
    <m/>
    <m/>
    <m/>
    <m/>
    <s v="OPTEVA"/>
    <s v="ATM"/>
  </r>
  <r>
    <x v="0"/>
    <s v="ATM  OPTEVA 620 R/L 3DES"/>
    <x v="4"/>
    <s v="AFD"/>
    <m/>
    <m/>
    <m/>
    <m/>
    <m/>
    <m/>
    <m/>
    <m/>
    <m/>
    <s v="OPTEVA"/>
    <s v="ATM"/>
  </r>
  <r>
    <x v="0"/>
    <s v="ATM  OPTEVA 620 R/L EDC R"/>
    <x v="4"/>
    <s v="AFD"/>
    <m/>
    <m/>
    <m/>
    <m/>
    <m/>
    <m/>
    <m/>
    <m/>
    <m/>
    <s v="OPTEVA"/>
    <s v="ATM"/>
  </r>
  <r>
    <x v="0"/>
    <s v="ATM  OPTEVA 620 R/L EDC R FTA"/>
    <x v="4"/>
    <s v="AFD"/>
    <m/>
    <m/>
    <m/>
    <m/>
    <m/>
    <m/>
    <m/>
    <m/>
    <m/>
    <s v="OPTEVA"/>
    <s v="ATM"/>
  </r>
  <r>
    <x v="0"/>
    <s v="ATM  OPTEVA 620 R/L EDC R IP"/>
    <x v="4"/>
    <s v="AFD"/>
    <m/>
    <m/>
    <m/>
    <m/>
    <m/>
    <m/>
    <m/>
    <m/>
    <m/>
    <s v="OPTEVA"/>
    <s v="ATM"/>
  </r>
  <r>
    <x v="0"/>
    <s v="ATM  OPTEVA 620 R/L FTA"/>
    <x v="4"/>
    <s v="AFD"/>
    <m/>
    <m/>
    <m/>
    <m/>
    <m/>
    <m/>
    <m/>
    <m/>
    <m/>
    <s v="OPTEVA"/>
    <s v="ATM"/>
  </r>
  <r>
    <x v="0"/>
    <s v="ATM  OPTEVA 620 R/L FTA IP"/>
    <x v="4"/>
    <s v="AFD"/>
    <m/>
    <m/>
    <m/>
    <m/>
    <m/>
    <m/>
    <m/>
    <m/>
    <m/>
    <s v="OPTEVA"/>
    <s v="ATM"/>
  </r>
  <r>
    <x v="0"/>
    <s v="ATM  OPTEVA 620 R/L IP"/>
    <x v="4"/>
    <s v="AFD"/>
    <m/>
    <m/>
    <m/>
    <m/>
    <m/>
    <m/>
    <m/>
    <m/>
    <m/>
    <s v="OPTEVA"/>
    <s v="ATM"/>
  </r>
  <r>
    <x v="0"/>
    <s v="ATM  OPTEVA 620 R/L RB"/>
    <x v="4"/>
    <s v="AFD"/>
    <m/>
    <m/>
    <m/>
    <m/>
    <m/>
    <m/>
    <m/>
    <m/>
    <m/>
    <s v="OPTEVA"/>
    <s v="ATM"/>
  </r>
  <r>
    <x v="0"/>
    <s v="ATM 828 FL"/>
    <x v="5"/>
    <s v="AFD"/>
    <m/>
    <m/>
    <m/>
    <m/>
    <m/>
    <m/>
    <m/>
    <s v="ECRM"/>
    <m/>
    <s v="OPTEVA ECRM"/>
    <s v="ATM"/>
  </r>
  <r>
    <x v="0"/>
    <s v="ATM CD OPTEVA 520"/>
    <x v="6"/>
    <s v="AFD"/>
    <m/>
    <m/>
    <m/>
    <m/>
    <m/>
    <m/>
    <m/>
    <m/>
    <m/>
    <s v="OPTEVA"/>
    <s v="ATM"/>
  </r>
  <r>
    <x v="0"/>
    <s v="ATM CD OPTEVA 520 EDC R"/>
    <x v="6"/>
    <s v="AFD"/>
    <m/>
    <m/>
    <m/>
    <m/>
    <m/>
    <m/>
    <m/>
    <m/>
    <m/>
    <s v="OPTEVA"/>
    <s v="ATM"/>
  </r>
  <r>
    <x v="0"/>
    <s v="ATM CD OPTEVA 520 F/L"/>
    <x v="7"/>
    <s v="AFD"/>
    <m/>
    <m/>
    <m/>
    <m/>
    <m/>
    <m/>
    <m/>
    <m/>
    <m/>
    <s v="OPTEVA"/>
    <s v="ATM"/>
  </r>
  <r>
    <x v="0"/>
    <s v="ATM CD OPTEVA 520 R/L"/>
    <x v="6"/>
    <s v="AFD"/>
    <m/>
    <m/>
    <m/>
    <m/>
    <m/>
    <m/>
    <m/>
    <m/>
    <m/>
    <s v="OPTEVA"/>
    <s v="ATM"/>
  </r>
  <r>
    <x v="0"/>
    <s v="ATM CD OPTEVA 520 R/L 5°GAV"/>
    <x v="6"/>
    <s v="AFD"/>
    <m/>
    <m/>
    <m/>
    <m/>
    <m/>
    <m/>
    <m/>
    <m/>
    <m/>
    <s v="OPTEVA"/>
    <s v="ATM"/>
  </r>
  <r>
    <x v="0"/>
    <s v="ATM FULL OPTEVA 720 F/L"/>
    <x v="8"/>
    <s v="AFD"/>
    <m/>
    <m/>
    <m/>
    <m/>
    <m/>
    <m/>
    <m/>
    <m/>
    <m/>
    <s v="OPTEVA"/>
    <s v="ATM"/>
  </r>
  <r>
    <x v="0"/>
    <s v="ATM FULL OPTEVA 720 F/L 5ºGAV"/>
    <x v="8"/>
    <s v="AFD"/>
    <m/>
    <m/>
    <m/>
    <m/>
    <m/>
    <m/>
    <m/>
    <m/>
    <m/>
    <s v="OPTEVA"/>
    <s v="ATM"/>
  </r>
  <r>
    <x v="0"/>
    <s v="ATM FULL OPTEVA 720 F/L ENA"/>
    <x v="8"/>
    <s v="AFD"/>
    <m/>
    <m/>
    <m/>
    <m/>
    <m/>
    <m/>
    <s v="ENA"/>
    <m/>
    <m/>
    <s v="OPTEVA MI"/>
    <s v="ATM"/>
  </r>
  <r>
    <x v="0"/>
    <s v="ATM FULL OPTEVA 720 F/L ENA IDM"/>
    <x v="8"/>
    <s v="AFD"/>
    <m/>
    <m/>
    <m/>
    <m/>
    <m/>
    <m/>
    <s v="ENA"/>
    <m/>
    <s v="IDM"/>
    <s v="OPTEVA MI"/>
    <s v="ATM"/>
  </r>
  <r>
    <x v="0"/>
    <s v="ATM FULL OPTEVA 720 F/L FTA"/>
    <x v="8"/>
    <s v="AFD"/>
    <m/>
    <m/>
    <m/>
    <m/>
    <m/>
    <m/>
    <m/>
    <m/>
    <m/>
    <s v="OPTEVA"/>
    <s v="ATM"/>
  </r>
  <r>
    <x v="0"/>
    <s v="ATM FULL OPTEVA 720 F/L FTA RB"/>
    <x v="8"/>
    <s v="AFD"/>
    <m/>
    <m/>
    <m/>
    <m/>
    <m/>
    <m/>
    <m/>
    <m/>
    <m/>
    <s v="OPTEVA"/>
    <s v="ATM"/>
  </r>
  <r>
    <x v="0"/>
    <s v="ATM FULL OPTEVA 720 F/L IP"/>
    <x v="8"/>
    <s v="AFD"/>
    <m/>
    <m/>
    <m/>
    <m/>
    <m/>
    <m/>
    <m/>
    <m/>
    <m/>
    <s v="OPTEVA"/>
    <s v="ATM"/>
  </r>
  <r>
    <x v="0"/>
    <s v="ATM FULL OPTEVA 720 R/L"/>
    <x v="9"/>
    <s v="AFD"/>
    <m/>
    <m/>
    <m/>
    <m/>
    <m/>
    <m/>
    <m/>
    <m/>
    <m/>
    <s v="OPTEVA"/>
    <s v="ATM"/>
  </r>
  <r>
    <x v="0"/>
    <s v="ATM FULL OPTEVA 720 R/L 3DES"/>
    <x v="9"/>
    <s v="AFD"/>
    <m/>
    <m/>
    <m/>
    <m/>
    <m/>
    <m/>
    <m/>
    <m/>
    <m/>
    <s v="OPTEVA"/>
    <s v="ATM"/>
  </r>
  <r>
    <x v="0"/>
    <s v="ATM FULL OPTEVA 720 R/L 3DES EDC R"/>
    <x v="9"/>
    <s v="AFD"/>
    <m/>
    <m/>
    <m/>
    <m/>
    <m/>
    <m/>
    <m/>
    <m/>
    <m/>
    <s v="OPTEVA"/>
    <s v="ATM"/>
  </r>
  <r>
    <x v="0"/>
    <s v="ATM FULL OPTEVA 720 R/L 3DES IP"/>
    <x v="9"/>
    <s v="AFD"/>
    <m/>
    <m/>
    <m/>
    <m/>
    <m/>
    <m/>
    <m/>
    <m/>
    <m/>
    <s v="OPTEVA"/>
    <s v="ATM"/>
  </r>
  <r>
    <x v="0"/>
    <s v="ATM FULL OPTEVA 720 R/L 3DES RB"/>
    <x v="9"/>
    <s v="AFD"/>
    <m/>
    <m/>
    <m/>
    <m/>
    <m/>
    <m/>
    <m/>
    <m/>
    <m/>
    <s v="OPTEVA"/>
    <s v="ATM"/>
  </r>
  <r>
    <x v="0"/>
    <s v="ATM FULL OPTEVA 720 R/L 3DES/5ºGAV"/>
    <x v="9"/>
    <s v="AFD"/>
    <m/>
    <m/>
    <m/>
    <m/>
    <m/>
    <m/>
    <m/>
    <m/>
    <m/>
    <s v="OPTEVA"/>
    <s v="ATM"/>
  </r>
  <r>
    <x v="0"/>
    <s v="ATM FULL OPTEVA 720 R/L 5°GAV/EDC R/RB"/>
    <x v="9"/>
    <s v="AFD"/>
    <m/>
    <m/>
    <m/>
    <m/>
    <m/>
    <m/>
    <m/>
    <m/>
    <m/>
    <s v="OPTEVA"/>
    <s v="ATM"/>
  </r>
  <r>
    <x v="0"/>
    <s v="ATM FULL OPTEVA 720 R/L 5ºGAV"/>
    <x v="9"/>
    <s v="AFD"/>
    <m/>
    <m/>
    <m/>
    <m/>
    <m/>
    <m/>
    <m/>
    <m/>
    <m/>
    <s v="OPTEVA"/>
    <s v="ATM"/>
  </r>
  <r>
    <x v="0"/>
    <s v="ATM FULL OPTEVA 720 R/L 5ºGAV / EDC"/>
    <x v="9"/>
    <s v="AFD"/>
    <m/>
    <m/>
    <m/>
    <m/>
    <m/>
    <m/>
    <m/>
    <m/>
    <m/>
    <s v="OPTEVA"/>
    <s v="ATM"/>
  </r>
  <r>
    <x v="0"/>
    <s v="ATM FULL OPTEVA 720 R/L 5ºGAV EDC R/G VOZ RB"/>
    <x v="9"/>
    <s v="AFD"/>
    <m/>
    <m/>
    <m/>
    <m/>
    <m/>
    <m/>
    <m/>
    <m/>
    <m/>
    <s v="OPTEVA"/>
    <s v="ATM"/>
  </r>
  <r>
    <x v="0"/>
    <s v="ATM FULL OPTEVA 720 R/L 5ºGAV RB"/>
    <x v="9"/>
    <s v="AFD"/>
    <m/>
    <m/>
    <m/>
    <m/>
    <m/>
    <m/>
    <m/>
    <m/>
    <m/>
    <s v="OPTEVA"/>
    <s v="ATM"/>
  </r>
  <r>
    <x v="0"/>
    <s v="ATM FULL OPTEVA 720 R/L 5ºGAV/G VOZ"/>
    <x v="9"/>
    <s v="AFD"/>
    <m/>
    <m/>
    <m/>
    <m/>
    <m/>
    <m/>
    <m/>
    <m/>
    <m/>
    <s v="OPTEVA"/>
    <s v="ATM"/>
  </r>
  <r>
    <x v="0"/>
    <s v="ATM FULL OPTEVA 720 R/L 5ºGAV/G VOZ RB"/>
    <x v="9"/>
    <s v="AFD"/>
    <m/>
    <m/>
    <m/>
    <m/>
    <m/>
    <m/>
    <m/>
    <m/>
    <m/>
    <s v="OPTEVA"/>
    <s v="ATM"/>
  </r>
  <r>
    <x v="0"/>
    <s v="ATM FULL OPTEVA 720 R/L EDC R"/>
    <x v="9"/>
    <s v="AFD"/>
    <m/>
    <m/>
    <m/>
    <m/>
    <m/>
    <m/>
    <m/>
    <m/>
    <m/>
    <s v="OPTEVA"/>
    <s v="ATM"/>
  </r>
  <r>
    <x v="0"/>
    <s v="ATM FULL OPTEVA 720 R/L EDC R FTA"/>
    <x v="9"/>
    <s v="AFD"/>
    <m/>
    <m/>
    <m/>
    <m/>
    <m/>
    <m/>
    <m/>
    <m/>
    <m/>
    <s v="OPTEVA"/>
    <s v="ATM"/>
  </r>
  <r>
    <x v="0"/>
    <s v="ATM FULL OPTEVA 720 R/L ENA"/>
    <x v="9"/>
    <s v="AFD"/>
    <m/>
    <m/>
    <m/>
    <m/>
    <m/>
    <m/>
    <s v="ENA"/>
    <m/>
    <m/>
    <s v="OPTEVA MI"/>
    <s v="ATM"/>
  </r>
  <r>
    <x v="0"/>
    <s v="ATM FULL OPTEVA 720 R/L ENA 3DES EDC R"/>
    <x v="9"/>
    <s v="AFD"/>
    <m/>
    <m/>
    <m/>
    <m/>
    <m/>
    <m/>
    <s v="ENA"/>
    <m/>
    <m/>
    <s v="OPTEVA MI"/>
    <s v="ATM"/>
  </r>
  <r>
    <x v="0"/>
    <s v="ATM FULL OPTEVA 720 R/L ENA 3DES EDC R EMV"/>
    <x v="9"/>
    <s v="AFD"/>
    <m/>
    <m/>
    <m/>
    <m/>
    <m/>
    <m/>
    <s v="ENA"/>
    <m/>
    <m/>
    <s v="OPTEVA MI"/>
    <s v="ATM"/>
  </r>
  <r>
    <x v="0"/>
    <s v="ATM FULL OPTEVA 720 R/L ENA 3DES EDC R EMV RB"/>
    <x v="9"/>
    <s v="AFD"/>
    <m/>
    <m/>
    <m/>
    <m/>
    <m/>
    <m/>
    <s v="ENA"/>
    <m/>
    <m/>
    <s v="OPTEVA MI"/>
    <s v="ATM"/>
  </r>
  <r>
    <x v="0"/>
    <s v="ATM FULL OPTEVA 720 R/L ENA EDC R"/>
    <x v="9"/>
    <s v="AFD"/>
    <m/>
    <m/>
    <m/>
    <m/>
    <m/>
    <m/>
    <s v="ENA"/>
    <m/>
    <m/>
    <s v="OPTEVA MI"/>
    <s v="ATM"/>
  </r>
  <r>
    <x v="0"/>
    <s v="ATM FULL OPTEVA 720 R/L ENA FTA RB"/>
    <x v="9"/>
    <s v="AFD"/>
    <m/>
    <m/>
    <m/>
    <m/>
    <m/>
    <m/>
    <s v="ENA"/>
    <m/>
    <m/>
    <s v="OPTEVA MI"/>
    <s v="ATM"/>
  </r>
  <r>
    <x v="0"/>
    <s v="ATM FULL OPTEVA 720 R/L ENA IDM"/>
    <x v="9"/>
    <s v="AFD"/>
    <m/>
    <m/>
    <m/>
    <m/>
    <m/>
    <m/>
    <s v="ENA"/>
    <m/>
    <s v="IDM"/>
    <s v="OPTEVA MI"/>
    <s v="ATM"/>
  </r>
  <r>
    <x v="0"/>
    <s v="ATM FULL OPTEVA 720 R/L ENA IDM EDC R EMV"/>
    <x v="9"/>
    <s v="AFD"/>
    <m/>
    <m/>
    <m/>
    <m/>
    <m/>
    <m/>
    <s v="ENA"/>
    <m/>
    <s v="IDM"/>
    <s v="OPTEVA MI"/>
    <s v="ATM"/>
  </r>
  <r>
    <x v="0"/>
    <s v="ATM FULL OPTEVA 720 R/L ENA IDM EDC R/5 GAV"/>
    <x v="9"/>
    <s v="AFD"/>
    <m/>
    <m/>
    <m/>
    <m/>
    <m/>
    <m/>
    <s v="ENA"/>
    <m/>
    <s v="IDM"/>
    <s v="OPTEVA MI"/>
    <s v="ATM"/>
  </r>
  <r>
    <x v="0"/>
    <s v="ATM FULL OPTEVA 720 R/L ENA IDM RB"/>
    <x v="9"/>
    <s v="AFD"/>
    <m/>
    <m/>
    <m/>
    <m/>
    <m/>
    <m/>
    <s v="ENA"/>
    <m/>
    <s v="IDM"/>
    <s v="OPTEVA MI"/>
    <s v="ATM"/>
  </r>
  <r>
    <x v="0"/>
    <s v="ATM FULL OPTEVA 720 R/L ENA RB"/>
    <x v="9"/>
    <s v="AFD"/>
    <m/>
    <m/>
    <m/>
    <m/>
    <m/>
    <m/>
    <s v="ENA"/>
    <m/>
    <m/>
    <s v="OPTEVA MI"/>
    <s v="ATM"/>
  </r>
  <r>
    <x v="0"/>
    <s v="ATM FULL OPTEVA 720 R/L ENA/ 5 GAV"/>
    <x v="9"/>
    <s v="AFD"/>
    <m/>
    <m/>
    <m/>
    <m/>
    <m/>
    <m/>
    <s v="ENA"/>
    <m/>
    <m/>
    <s v="OPTEVA MI"/>
    <s v="ATM"/>
  </r>
  <r>
    <x v="0"/>
    <s v="ATM FULL OPTEVA 720 R/L ENA/ 5 GAV EDC R"/>
    <x v="9"/>
    <s v="AFD"/>
    <m/>
    <m/>
    <m/>
    <m/>
    <m/>
    <m/>
    <s v="ENA"/>
    <m/>
    <m/>
    <s v="OPTEVA MI"/>
    <s v="ATM"/>
  </r>
  <r>
    <x v="0"/>
    <s v="ATM FULL OPTEVA 720 R/L ENA/ 5 GAV EDC R RB"/>
    <x v="9"/>
    <s v="AFD"/>
    <m/>
    <m/>
    <m/>
    <m/>
    <m/>
    <m/>
    <s v="ENA"/>
    <m/>
    <m/>
    <s v="OPTEVA MI"/>
    <s v="ATM"/>
  </r>
  <r>
    <x v="0"/>
    <s v="ATM FULL OPTEVA 720 R/L ENA/ 5 GAV FTA"/>
    <x v="9"/>
    <s v="AFD"/>
    <m/>
    <m/>
    <m/>
    <m/>
    <m/>
    <m/>
    <s v="ENA"/>
    <m/>
    <m/>
    <s v="OPTEVA MI"/>
    <s v="ATM"/>
  </r>
  <r>
    <x v="0"/>
    <s v="ATM FULL OPTEVA 720 R/L ENA/ 5 GAV RB"/>
    <x v="9"/>
    <s v="AFD"/>
    <m/>
    <m/>
    <m/>
    <m/>
    <m/>
    <m/>
    <s v="ENA"/>
    <m/>
    <m/>
    <s v="OPTEVA MI"/>
    <s v="ATM"/>
  </r>
  <r>
    <x v="0"/>
    <s v="ATM FULL OPTEVA 720 R/L ENA/ 5 GAV/G VOZ"/>
    <x v="9"/>
    <s v="AFD"/>
    <m/>
    <m/>
    <m/>
    <m/>
    <m/>
    <m/>
    <s v="ENA"/>
    <m/>
    <m/>
    <s v="OPTEVA MI"/>
    <s v="ATM"/>
  </r>
  <r>
    <x v="0"/>
    <s v="ATM FULL OPTEVA 720 R/L ENA/3DES"/>
    <x v="9"/>
    <s v="AFD"/>
    <m/>
    <m/>
    <m/>
    <m/>
    <m/>
    <m/>
    <s v="ENA"/>
    <m/>
    <m/>
    <s v="OPTEVA MI"/>
    <s v="ATM"/>
  </r>
  <r>
    <x v="0"/>
    <s v="ATM FULL OPTEVA 720 R/L FTA"/>
    <x v="9"/>
    <s v="AFD"/>
    <m/>
    <m/>
    <m/>
    <m/>
    <m/>
    <m/>
    <m/>
    <m/>
    <m/>
    <s v="OPTEVA"/>
    <s v="ATM"/>
  </r>
  <r>
    <x v="0"/>
    <s v="ATM FULL OPTEVA 720 R/L FTA IP"/>
    <x v="9"/>
    <s v="AFD"/>
    <m/>
    <m/>
    <m/>
    <m/>
    <m/>
    <m/>
    <m/>
    <m/>
    <m/>
    <s v="OPTEVA"/>
    <s v="ATM"/>
  </r>
  <r>
    <x v="0"/>
    <s v="ATM FULL OPTEVA 720 R/L G VOZ"/>
    <x v="9"/>
    <s v="AFD"/>
    <m/>
    <m/>
    <m/>
    <m/>
    <m/>
    <m/>
    <m/>
    <m/>
    <m/>
    <s v="OPTEVA"/>
    <s v="ATM"/>
  </r>
  <r>
    <x v="0"/>
    <s v="ATM FULL OPTEVA 720 R/L IDM"/>
    <x v="9"/>
    <s v="AFD"/>
    <m/>
    <m/>
    <m/>
    <m/>
    <m/>
    <m/>
    <m/>
    <m/>
    <s v="IDM"/>
    <s v="OPTEVA MI"/>
    <s v="ATM"/>
  </r>
  <r>
    <x v="0"/>
    <s v="ATM FULL OPTEVA 720 R/L RB"/>
    <x v="9"/>
    <s v="AFD"/>
    <m/>
    <m/>
    <m/>
    <m/>
    <m/>
    <m/>
    <m/>
    <m/>
    <m/>
    <s v="OPTEVA"/>
    <s v="ATM"/>
  </r>
  <r>
    <x v="0"/>
    <s v="ATM OPTEVA 368 R/L"/>
    <x v="10"/>
    <m/>
    <m/>
    <m/>
    <m/>
    <m/>
    <m/>
    <m/>
    <m/>
    <s v="ECRM"/>
    <m/>
    <s v="OPTEVA ECRM"/>
    <s v="ATM"/>
  </r>
  <r>
    <x v="0"/>
    <s v="ATM OPTEVA 510 R/L 3DES"/>
    <x v="1"/>
    <s v="AFD"/>
    <m/>
    <m/>
    <m/>
    <m/>
    <m/>
    <m/>
    <m/>
    <m/>
    <m/>
    <s v="OPTEVA"/>
    <s v="ATM"/>
  </r>
  <r>
    <x v="0"/>
    <s v="ATM OPTEVA 510 R/L 3DES IP"/>
    <x v="1"/>
    <s v="AFD"/>
    <m/>
    <m/>
    <m/>
    <m/>
    <m/>
    <m/>
    <m/>
    <m/>
    <m/>
    <s v="OPTEVA"/>
    <s v="ATM"/>
  </r>
  <r>
    <x v="0"/>
    <s v="ATM OPTEVA 522  NDX SP4"/>
    <x v="1"/>
    <s v="AFD"/>
    <m/>
    <m/>
    <m/>
    <m/>
    <m/>
    <m/>
    <m/>
    <m/>
    <m/>
    <s v="OPTEVA"/>
    <s v="ATM"/>
  </r>
  <r>
    <x v="0"/>
    <s v="ATM OPTEVA 522 5ºGAV"/>
    <x v="3"/>
    <s v="AFD"/>
    <m/>
    <m/>
    <m/>
    <m/>
    <m/>
    <m/>
    <m/>
    <m/>
    <m/>
    <s v="OPTEVA"/>
    <s v="ATM"/>
  </r>
  <r>
    <x v="0"/>
    <s v="ATM OPTEVA 522 5ºGAV RB"/>
    <x v="3"/>
    <s v="AFD"/>
    <m/>
    <m/>
    <m/>
    <m/>
    <m/>
    <m/>
    <m/>
    <m/>
    <m/>
    <s v="OPTEVA"/>
    <s v="ATM"/>
  </r>
  <r>
    <x v="0"/>
    <s v="ATM OPTEVA 522 EDC R/G VOZ RB"/>
    <x v="3"/>
    <s v="AFD"/>
    <m/>
    <m/>
    <m/>
    <m/>
    <m/>
    <m/>
    <m/>
    <m/>
    <m/>
    <s v="OPTEVA"/>
    <s v="ATM"/>
  </r>
  <r>
    <x v="0"/>
    <s v="ATM OPTEVA 868 ECRM"/>
    <x v="11"/>
    <s v="AFD"/>
    <m/>
    <m/>
    <m/>
    <m/>
    <m/>
    <m/>
    <m/>
    <s v="ECRM"/>
    <m/>
    <s v="OPTEVA ECRM"/>
    <s v="ATM"/>
  </r>
  <r>
    <x v="0"/>
    <s v="ATM OPTEVA 868 ECRM DISP IDM"/>
    <x v="11"/>
    <s v="AFD"/>
    <m/>
    <m/>
    <m/>
    <m/>
    <m/>
    <m/>
    <m/>
    <s v="ECRM"/>
    <s v="IDM"/>
    <s v="OPTEVA ECRM"/>
    <s v="ATM"/>
  </r>
  <r>
    <x v="0"/>
    <s v="CS3700 RL"/>
    <x v="12"/>
    <m/>
    <m/>
    <m/>
    <m/>
    <m/>
    <m/>
    <m/>
    <m/>
    <s v="ECRM"/>
    <m/>
    <s v="OPTEVA ECRM"/>
    <s v="ATM"/>
  </r>
  <r>
    <x v="0"/>
    <s v="DN200V RL"/>
    <x v="13"/>
    <m/>
    <m/>
    <m/>
    <m/>
    <m/>
    <m/>
    <m/>
    <m/>
    <m/>
    <m/>
    <s v="DN"/>
    <s v="ATM"/>
  </r>
  <r>
    <x v="0"/>
    <s v="OPTEVA 828"/>
    <x v="5"/>
    <m/>
    <m/>
    <m/>
    <m/>
    <m/>
    <m/>
    <m/>
    <m/>
    <s v="ECRM"/>
    <m/>
    <s v="OPTEVA ECRM"/>
    <s v="ATM"/>
  </r>
  <r>
    <x v="0"/>
    <s v="TAS  OPTEVA 522"/>
    <x v="3"/>
    <s v="AFD"/>
    <m/>
    <m/>
    <m/>
    <m/>
    <m/>
    <m/>
    <m/>
    <m/>
    <m/>
    <s v="OPTEVA"/>
    <s v="ATM"/>
  </r>
  <r>
    <x v="0"/>
    <s v="TAS CD OPTEVA 520 R/L"/>
    <x v="6"/>
    <s v="AFD"/>
    <m/>
    <m/>
    <m/>
    <m/>
    <m/>
    <m/>
    <m/>
    <m/>
    <m/>
    <s v="OPTEVA"/>
    <s v="ATM"/>
  </r>
  <r>
    <x v="0"/>
    <s v="TAS OPTEVA 520 R/L"/>
    <x v="6"/>
    <s v="AFD"/>
    <m/>
    <m/>
    <m/>
    <m/>
    <m/>
    <m/>
    <m/>
    <m/>
    <m/>
    <s v="OPTEVA"/>
    <s v="ATM"/>
  </r>
  <r>
    <x v="0"/>
    <s v="TAS OPTEVA 522 FL – TAS"/>
    <x v="3"/>
    <s v="AFD"/>
    <m/>
    <m/>
    <m/>
    <m/>
    <m/>
    <m/>
    <m/>
    <m/>
    <m/>
    <s v="OPTEVA"/>
    <s v="ATM"/>
  </r>
  <r>
    <x v="0"/>
    <s v="TAS OPTEVA 522 RL – TAS"/>
    <x v="3"/>
    <s v="AFD"/>
    <m/>
    <m/>
    <m/>
    <m/>
    <m/>
    <m/>
    <m/>
    <m/>
    <m/>
    <s v="OPTEVA"/>
    <s v="ATM"/>
  </r>
  <r>
    <x v="0"/>
    <s v="TAS OPTEVA 720 F/L"/>
    <x v="9"/>
    <m/>
    <m/>
    <m/>
    <m/>
    <m/>
    <m/>
    <m/>
    <m/>
    <m/>
    <m/>
    <s v="TAS MI"/>
    <s v="ATM"/>
  </r>
  <r>
    <x v="0"/>
    <s v="TAS OPTEVA 720 F/L ENA"/>
    <x v="9"/>
    <m/>
    <m/>
    <m/>
    <m/>
    <m/>
    <m/>
    <m/>
    <s v="ENA"/>
    <m/>
    <m/>
    <s v="TAS MI"/>
    <s v="ATM"/>
  </r>
  <r>
    <x v="0"/>
    <s v="TAS OPTEVA 720 F/L ENA IDM"/>
    <x v="9"/>
    <m/>
    <m/>
    <m/>
    <m/>
    <m/>
    <m/>
    <m/>
    <s v="ENA"/>
    <m/>
    <s v="IDM"/>
    <s v="TAS MI"/>
    <s v="ATM"/>
  </r>
  <r>
    <x v="0"/>
    <s v="TAS OPTEVA 720 R/L"/>
    <x v="9"/>
    <m/>
    <m/>
    <m/>
    <m/>
    <m/>
    <m/>
    <m/>
    <m/>
    <m/>
    <m/>
    <s v="TAS MI"/>
    <s v="ATM"/>
  </r>
  <r>
    <x v="0"/>
    <s v="TAS OPTEVA 720 R/L ENA"/>
    <x v="9"/>
    <m/>
    <m/>
    <m/>
    <m/>
    <m/>
    <m/>
    <m/>
    <s v="ENA"/>
    <m/>
    <m/>
    <s v="TAS MI"/>
    <s v="ATM"/>
  </r>
  <r>
    <x v="0"/>
    <s v="TAS OPTEVA 720 R/L ENA IDM"/>
    <x v="9"/>
    <m/>
    <m/>
    <m/>
    <m/>
    <m/>
    <m/>
    <m/>
    <s v="ENA"/>
    <m/>
    <s v="IDM"/>
    <s v="TAS MI"/>
    <s v="ATM"/>
  </r>
  <r>
    <x v="0"/>
    <s v="TAS OPTEVA 720 R/L ENA2"/>
    <x v="9"/>
    <m/>
    <m/>
    <m/>
    <m/>
    <m/>
    <m/>
    <m/>
    <s v="ENA"/>
    <m/>
    <s v="IDM"/>
    <s v="TAS MI"/>
    <s v="ATM"/>
  </r>
  <r>
    <x v="0"/>
    <s v="TAS OPTEVA 868 ECRM DEP IDM"/>
    <x v="11"/>
    <s v="AFD"/>
    <m/>
    <m/>
    <m/>
    <m/>
    <m/>
    <m/>
    <m/>
    <s v="ECRM"/>
    <s v="IDM"/>
    <s v="TAS ECRM"/>
    <s v="ATM"/>
  </r>
  <r>
    <x v="0"/>
    <s v="TAS OPTEVA 868 ECRM IDM"/>
    <x v="11"/>
    <s v="AFD"/>
    <m/>
    <m/>
    <m/>
    <m/>
    <m/>
    <m/>
    <m/>
    <s v="ECRM"/>
    <s v="IDM"/>
    <s v="OPTEVA ECRM"/>
    <s v="ATM"/>
  </r>
  <r>
    <x v="1"/>
    <s v="TDE 4500"/>
    <x v="14"/>
    <m/>
    <m/>
    <m/>
    <m/>
    <m/>
    <m/>
    <m/>
    <m/>
    <m/>
    <m/>
    <s v="TDE"/>
    <s v="ATM"/>
  </r>
  <r>
    <x v="1"/>
    <s v="TDE 4500  IDM"/>
    <x v="14"/>
    <m/>
    <m/>
    <m/>
    <m/>
    <m/>
    <m/>
    <m/>
    <m/>
    <m/>
    <s v="IDM"/>
    <s v="TDE MI"/>
    <s v="ATM"/>
  </r>
  <r>
    <x v="1"/>
    <s v="TDE 4500 FL"/>
    <x v="14"/>
    <m/>
    <m/>
    <m/>
    <m/>
    <m/>
    <m/>
    <m/>
    <m/>
    <m/>
    <m/>
    <s v="TDE"/>
    <s v="ATM"/>
  </r>
  <r>
    <x v="1"/>
    <s v="TDE 4500 FL IDM"/>
    <x v="14"/>
    <m/>
    <m/>
    <m/>
    <m/>
    <m/>
    <m/>
    <m/>
    <m/>
    <m/>
    <s v="IDM"/>
    <s v="TDE MI"/>
    <s v="ATM"/>
  </r>
  <r>
    <x v="1"/>
    <s v="TDE 4500 RL"/>
    <x v="14"/>
    <m/>
    <m/>
    <m/>
    <m/>
    <m/>
    <m/>
    <m/>
    <m/>
    <m/>
    <m/>
    <s v="TDE"/>
    <s v="ATM"/>
  </r>
  <r>
    <x v="1"/>
    <s v="TDE 4500 RL IDM"/>
    <x v="14"/>
    <m/>
    <m/>
    <m/>
    <m/>
    <m/>
    <m/>
    <m/>
    <m/>
    <m/>
    <s v="IDM"/>
    <s v="TDE MI"/>
    <s v="ATM"/>
  </r>
  <r>
    <x v="1"/>
    <s v="TDE 4500 Slim"/>
    <x v="14"/>
    <m/>
    <m/>
    <m/>
    <m/>
    <m/>
    <m/>
    <m/>
    <m/>
    <m/>
    <m/>
    <s v="TDE"/>
    <s v="ATM"/>
  </r>
  <r>
    <x v="1"/>
    <s v="TDE 4533-020"/>
    <x v="14"/>
    <m/>
    <m/>
    <m/>
    <m/>
    <m/>
    <m/>
    <m/>
    <m/>
    <m/>
    <m/>
    <s v="TDE"/>
    <s v="ATM"/>
  </r>
  <r>
    <x v="1"/>
    <s v="TDE 4533-021"/>
    <x v="14"/>
    <m/>
    <m/>
    <m/>
    <m/>
    <m/>
    <m/>
    <m/>
    <m/>
    <m/>
    <m/>
    <s v="TDE"/>
    <s v="ATM"/>
  </r>
  <r>
    <x v="1"/>
    <s v="TDE 4533-022"/>
    <x v="14"/>
    <m/>
    <m/>
    <m/>
    <m/>
    <m/>
    <m/>
    <m/>
    <m/>
    <m/>
    <m/>
    <s v="TDE"/>
    <s v="ATM"/>
  </r>
  <r>
    <x v="1"/>
    <s v="TDE 4533-023"/>
    <x v="14"/>
    <m/>
    <m/>
    <m/>
    <m/>
    <m/>
    <m/>
    <m/>
    <m/>
    <m/>
    <m/>
    <s v="TDE"/>
    <s v="ATM"/>
  </r>
  <r>
    <x v="1"/>
    <s v="TDE 4535"/>
    <x v="14"/>
    <m/>
    <m/>
    <m/>
    <m/>
    <m/>
    <m/>
    <m/>
    <m/>
    <m/>
    <m/>
    <s v="TDE"/>
    <s v="ATM"/>
  </r>
  <r>
    <x v="2"/>
    <s v="DT-7000I21"/>
    <x v="15"/>
    <m/>
    <m/>
    <m/>
    <m/>
    <s v="GRG H21"/>
    <m/>
    <m/>
    <m/>
    <m/>
    <m/>
    <s v="GRG H21"/>
    <s v="ATM"/>
  </r>
  <r>
    <x v="2"/>
    <s v="DT-7000H22N RL"/>
    <x v="16"/>
    <m/>
    <m/>
    <m/>
    <s v="GRG"/>
    <m/>
    <m/>
    <m/>
    <m/>
    <m/>
    <m/>
    <s v="GRG H22"/>
    <s v="ATM"/>
  </r>
  <r>
    <x v="2"/>
    <s v="DT-7000H22V"/>
    <x v="16"/>
    <m/>
    <m/>
    <m/>
    <s v="GRG"/>
    <m/>
    <m/>
    <m/>
    <m/>
    <m/>
    <m/>
    <s v="GRG H22"/>
    <s v="ATM"/>
  </r>
  <r>
    <x v="2"/>
    <s v="DT-7000H22VL"/>
    <x v="16"/>
    <m/>
    <m/>
    <m/>
    <s v="GRG"/>
    <m/>
    <m/>
    <m/>
    <m/>
    <m/>
    <m/>
    <s v="GRG H22"/>
    <s v="ATM"/>
  </r>
  <r>
    <x v="2"/>
    <s v="DT-7000H22VLR"/>
    <x v="16"/>
    <m/>
    <m/>
    <m/>
    <s v="GRG"/>
    <m/>
    <m/>
    <m/>
    <m/>
    <m/>
    <m/>
    <s v="GRG H22"/>
    <s v="ATM"/>
  </r>
  <r>
    <x v="2"/>
    <s v="DT-7000H34N (FET) S/CHK"/>
    <x v="17"/>
    <m/>
    <m/>
    <m/>
    <s v="GRG"/>
    <m/>
    <s v="CAM"/>
    <m/>
    <m/>
    <m/>
    <m/>
    <s v="GRG H34"/>
    <s v="ATM"/>
  </r>
  <r>
    <x v="2"/>
    <s v="DT-7000H34N (FECT) S/CHK"/>
    <x v="17"/>
    <m/>
    <m/>
    <m/>
    <s v="GRG"/>
    <m/>
    <s v="CAM"/>
    <m/>
    <m/>
    <m/>
    <m/>
    <s v="GRG H34"/>
    <s v="ATM"/>
  </r>
  <r>
    <x v="2"/>
    <s v="DT-7000H34N S/CHK"/>
    <x v="17"/>
    <m/>
    <m/>
    <m/>
    <s v="GRG"/>
    <m/>
    <s v="CAM"/>
    <m/>
    <m/>
    <m/>
    <m/>
    <s v="GRG H34"/>
    <s v="ATM"/>
  </r>
  <r>
    <x v="2"/>
    <s v="DT-7000H34N"/>
    <x v="17"/>
    <m/>
    <m/>
    <m/>
    <s v="GRG"/>
    <m/>
    <s v="CAM"/>
    <m/>
    <m/>
    <m/>
    <m/>
    <s v="GRG H34"/>
    <s v="ATM"/>
  </r>
  <r>
    <x v="2"/>
    <s v="DT-7000H34N (FET)"/>
    <x v="17"/>
    <m/>
    <m/>
    <m/>
    <s v="GRG"/>
    <m/>
    <s v="CAM"/>
    <m/>
    <m/>
    <m/>
    <m/>
    <s v="GRG H34"/>
    <s v="ATM"/>
  </r>
  <r>
    <x v="2"/>
    <s v="DT-7000H34NL"/>
    <x v="17"/>
    <m/>
    <m/>
    <m/>
    <s v="GRG"/>
    <m/>
    <s v="CAM"/>
    <m/>
    <m/>
    <m/>
    <m/>
    <s v="GRG H34"/>
    <s v="ATM"/>
  </r>
  <r>
    <x v="2"/>
    <s v="DT-7000H34N (FECT)"/>
    <x v="17"/>
    <m/>
    <m/>
    <m/>
    <s v="GRG"/>
    <m/>
    <s v="CAM"/>
    <m/>
    <m/>
    <m/>
    <m/>
    <s v="GRG H34"/>
    <s v="ATM"/>
  </r>
  <r>
    <x v="2"/>
    <s v="DT-7000H68VLR ATM"/>
    <x v="18"/>
    <m/>
    <m/>
    <m/>
    <m/>
    <m/>
    <m/>
    <s v="Reciclador"/>
    <m/>
    <m/>
    <m/>
    <s v="GRG H68"/>
    <s v="ATM"/>
  </r>
  <r>
    <x v="2"/>
    <s v="DT-7000H68NLR ATM"/>
    <x v="18"/>
    <m/>
    <m/>
    <m/>
    <m/>
    <m/>
    <m/>
    <s v="Reciclador"/>
    <m/>
    <m/>
    <m/>
    <s v="GRG H68"/>
    <s v="ATM"/>
  </r>
  <r>
    <x v="2"/>
    <s v="DT-7000H68NLR TAS"/>
    <x v="18"/>
    <m/>
    <m/>
    <m/>
    <m/>
    <m/>
    <m/>
    <s v="Reciclador"/>
    <m/>
    <m/>
    <m/>
    <s v="GRG H68"/>
    <s v="ATM"/>
  </r>
  <r>
    <x v="2"/>
    <s v="DT-7000H68VLR+BAM"/>
    <x v="18"/>
    <m/>
    <m/>
    <m/>
    <m/>
    <m/>
    <m/>
    <s v="Reciclador"/>
    <m/>
    <m/>
    <m/>
    <s v="GRG H68"/>
    <s v="ATM"/>
  </r>
  <r>
    <x v="2"/>
    <s v="DT-7000H68NLR"/>
    <x v="18"/>
    <m/>
    <m/>
    <m/>
    <m/>
    <m/>
    <m/>
    <s v="Reciclador"/>
    <m/>
    <m/>
    <m/>
    <s v="GRG H68"/>
    <s v="ATM"/>
  </r>
  <r>
    <x v="3"/>
    <s v="ATM CS280 RL"/>
    <x v="19"/>
    <m/>
    <s v="CDM"/>
    <m/>
    <m/>
    <m/>
    <m/>
    <m/>
    <m/>
    <m/>
    <m/>
    <s v="WINCOR"/>
    <s v="ATM"/>
  </r>
  <r>
    <x v="3"/>
    <s v="CS2070"/>
    <x v="20"/>
    <m/>
    <s v="CDM"/>
    <s v="CCDM"/>
    <m/>
    <m/>
    <m/>
    <m/>
    <m/>
    <m/>
    <m/>
    <s v="WINCOR MI"/>
    <s v="ATM"/>
  </r>
  <r>
    <x v="3"/>
    <s v="CS2070 FL"/>
    <x v="20"/>
    <m/>
    <s v="CDM"/>
    <s v="CCDM"/>
    <m/>
    <m/>
    <m/>
    <m/>
    <m/>
    <m/>
    <m/>
    <s v="WINCOR MI"/>
    <s v="ATM"/>
  </r>
  <r>
    <x v="3"/>
    <s v="CS2070 RL"/>
    <x v="20"/>
    <m/>
    <s v="CDM"/>
    <s v="CCDM"/>
    <m/>
    <m/>
    <m/>
    <m/>
    <m/>
    <m/>
    <m/>
    <s v="WINCOR MI"/>
    <s v="ATM"/>
  </r>
  <r>
    <x v="3"/>
    <s v="CS280"/>
    <x v="19"/>
    <m/>
    <s v="CDM"/>
    <m/>
    <m/>
    <m/>
    <m/>
    <m/>
    <m/>
    <m/>
    <m/>
    <s v="WINCOR"/>
    <s v="ATM"/>
  </r>
  <r>
    <x v="3"/>
    <s v="CS280 FL"/>
    <x v="21"/>
    <m/>
    <s v="CDM"/>
    <m/>
    <m/>
    <m/>
    <m/>
    <m/>
    <m/>
    <m/>
    <m/>
    <s v="WINCOR"/>
    <s v="ATM"/>
  </r>
  <r>
    <x v="3"/>
    <s v="CS280 RL"/>
    <x v="19"/>
    <m/>
    <s v="CDM"/>
    <m/>
    <m/>
    <m/>
    <m/>
    <m/>
    <m/>
    <m/>
    <m/>
    <s v="WINCOR"/>
    <s v="ATM"/>
  </r>
  <r>
    <x v="3"/>
    <s v="WINCOR 2100"/>
    <x v="22"/>
    <m/>
    <s v="CDM"/>
    <m/>
    <m/>
    <m/>
    <m/>
    <m/>
    <m/>
    <m/>
    <m/>
    <s v="WINCOR"/>
    <s v="ATM"/>
  </r>
  <r>
    <x v="3"/>
    <s v="WINCOR 280 R/L"/>
    <x v="19"/>
    <m/>
    <s v="CDM"/>
    <m/>
    <m/>
    <m/>
    <m/>
    <m/>
    <m/>
    <m/>
    <m/>
    <s v="WINCOR"/>
    <s v="ATM"/>
  </r>
  <r>
    <x v="4"/>
    <s v="CIMA SDM500"/>
    <x v="23"/>
    <m/>
    <m/>
    <m/>
    <m/>
    <m/>
    <m/>
    <m/>
    <m/>
    <m/>
    <m/>
    <s v="CIMA"/>
    <s v="Cash Today"/>
  </r>
  <r>
    <x v="5"/>
    <s v="GLORY P1000"/>
    <x v="24"/>
    <m/>
    <m/>
    <m/>
    <m/>
    <m/>
    <m/>
    <m/>
    <m/>
    <m/>
    <m/>
    <s v="GLORY P1000"/>
    <s v="Cash Today"/>
  </r>
  <r>
    <x v="5"/>
    <s v="GLORY P1001"/>
    <x v="25"/>
    <m/>
    <m/>
    <m/>
    <m/>
    <m/>
    <m/>
    <m/>
    <m/>
    <m/>
    <m/>
    <s v="GLORY P1001"/>
    <s v="Cash Today"/>
  </r>
  <r>
    <x v="5"/>
    <s v="GLORY P500"/>
    <x v="26"/>
    <m/>
    <m/>
    <m/>
    <m/>
    <m/>
    <m/>
    <m/>
    <m/>
    <m/>
    <m/>
    <s v="GLORY P500"/>
    <s v="Cash Today"/>
  </r>
  <r>
    <x v="5"/>
    <s v="TAS"/>
    <x v="27"/>
    <m/>
    <m/>
    <m/>
    <m/>
    <m/>
    <m/>
    <m/>
    <m/>
    <m/>
    <m/>
    <s v="GLORY TAS"/>
    <s v="Cash Today"/>
  </r>
  <r>
    <x v="6"/>
    <s v="PMINI-MEI"/>
    <x v="28"/>
    <m/>
    <m/>
    <m/>
    <m/>
    <m/>
    <m/>
    <m/>
    <m/>
    <m/>
    <m/>
    <s v="MEI"/>
    <s v="Cash Today"/>
  </r>
  <r>
    <x v="7"/>
    <s v="CTE1 SNBC"/>
    <x v="29"/>
    <m/>
    <m/>
    <m/>
    <m/>
    <m/>
    <m/>
    <m/>
    <m/>
    <m/>
    <m/>
    <s v="CTE1 SNBC"/>
    <s v="Cash Today"/>
  </r>
  <r>
    <x v="7"/>
    <s v="CTE2 SNBC"/>
    <x v="30"/>
    <m/>
    <m/>
    <m/>
    <m/>
    <m/>
    <m/>
    <m/>
    <m/>
    <m/>
    <m/>
    <s v="CTE2 SNBC"/>
    <s v="Cash Today"/>
  </r>
  <r>
    <x v="7"/>
    <s v="CTE2 SNBC -C"/>
    <x v="30"/>
    <m/>
    <m/>
    <m/>
    <m/>
    <m/>
    <m/>
    <m/>
    <m/>
    <m/>
    <m/>
    <s v="CTE2 SNBC"/>
    <s v="Cash Today"/>
  </r>
  <r>
    <x v="7"/>
    <s v="CTI UL"/>
    <x v="31"/>
    <m/>
    <m/>
    <m/>
    <m/>
    <m/>
    <m/>
    <m/>
    <m/>
    <m/>
    <m/>
    <s v="CTI UL SNBC"/>
    <s v="Cash Today"/>
  </r>
  <r>
    <x v="7"/>
    <s v="CTI UL- C"/>
    <x v="31"/>
    <m/>
    <m/>
    <m/>
    <m/>
    <m/>
    <m/>
    <m/>
    <m/>
    <m/>
    <m/>
    <s v="CTI UL SNBC"/>
    <s v="Cash Today"/>
  </r>
  <r>
    <x v="7"/>
    <s v="CTI90 SNBC"/>
    <x v="32"/>
    <m/>
    <m/>
    <m/>
    <m/>
    <m/>
    <m/>
    <m/>
    <m/>
    <m/>
    <m/>
    <s v="CTI90 SNBC"/>
    <s v="Cash Today"/>
  </r>
  <r>
    <x v="7"/>
    <s v="CTI90 SNBC - C"/>
    <x v="32"/>
    <m/>
    <m/>
    <m/>
    <m/>
    <m/>
    <m/>
    <m/>
    <m/>
    <m/>
    <m/>
    <s v="CTI90 SNBC"/>
    <s v="Cash Today"/>
  </r>
  <r>
    <x v="7"/>
    <s v="DI90S"/>
    <x v="32"/>
    <m/>
    <m/>
    <m/>
    <m/>
    <m/>
    <m/>
    <m/>
    <m/>
    <m/>
    <m/>
    <s v="CTI90 SNBC"/>
    <s v="Cash Today"/>
  </r>
  <r>
    <x v="7"/>
    <s v="SNBC90"/>
    <x v="32"/>
    <m/>
    <m/>
    <m/>
    <m/>
    <m/>
    <m/>
    <m/>
    <m/>
    <m/>
    <m/>
    <s v="CTI90 SNBC"/>
    <s v="Cash Today"/>
  </r>
  <r>
    <x v="7"/>
    <s v="SNBCMINICTE"/>
    <x v="32"/>
    <m/>
    <m/>
    <m/>
    <m/>
    <m/>
    <m/>
    <m/>
    <m/>
    <m/>
    <m/>
    <s v="CTI90 SNBC"/>
    <s v="Cash Today"/>
  </r>
  <r>
    <x v="8"/>
    <s v="CAJA ROBOTIZADA"/>
    <x v="33"/>
    <m/>
    <m/>
    <m/>
    <m/>
    <m/>
    <m/>
    <m/>
    <m/>
    <m/>
    <m/>
    <s v="GUNNEBO"/>
    <s v="PROSEGUR"/>
  </r>
  <r>
    <x v="9"/>
    <s v="ADMV2"/>
    <x v="34"/>
    <m/>
    <m/>
    <m/>
    <m/>
    <m/>
    <m/>
    <m/>
    <m/>
    <m/>
    <m/>
    <s v="PROSEGUR"/>
    <s v="PROSEGUR"/>
  </r>
  <r>
    <x v="9"/>
    <s v="Dispensador de Sobres"/>
    <x v="34"/>
    <m/>
    <m/>
    <m/>
    <m/>
    <m/>
    <m/>
    <m/>
    <m/>
    <m/>
    <m/>
    <s v="PROSEGUR"/>
    <s v="PROSEGUR"/>
  </r>
  <r>
    <x v="2"/>
    <s v="DT-7000H68VLR"/>
    <x v="18"/>
    <m/>
    <m/>
    <m/>
    <m/>
    <m/>
    <m/>
    <s v="Reciclador"/>
    <m/>
    <m/>
    <m/>
    <s v="GRG H68"/>
    <s v="AT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74D33-B3E5-44C8-88D6-8356B8E6A4B8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1" firstHeaderRow="1" firstDataRow="1" firstDataCol="1"/>
  <pivotFields count="15">
    <pivotField axis="axisRow" showAll="0">
      <items count="11">
        <item x="4"/>
        <item x="0"/>
        <item x="1"/>
        <item x="5"/>
        <item x="2"/>
        <item h="1" x="8"/>
        <item h="1" x="6"/>
        <item h="1" x="9"/>
        <item x="7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8"/>
    </i>
    <i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136AF-B6B0-4503-9D5C-255CF967E556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F8" firstHeaderRow="1" firstDataRow="1" firstDataCol="1" rowPageCount="1" colPageCount="1"/>
  <pivotFields count="15">
    <pivotField axis="axisPage" showAll="0">
      <items count="11">
        <item x="4"/>
        <item x="0"/>
        <item x="1"/>
        <item x="5"/>
        <item x="2"/>
        <item x="8"/>
        <item x="6"/>
        <item x="9"/>
        <item x="7"/>
        <item x="3"/>
        <item t="default"/>
      </items>
    </pivotField>
    <pivotField showAll="0"/>
    <pivotField axis="axisRow" showAll="0">
      <items count="41">
        <item x="23"/>
        <item x="20"/>
        <item x="22"/>
        <item x="21"/>
        <item x="19"/>
        <item x="29"/>
        <item x="30"/>
        <item x="31"/>
        <item x="32"/>
        <item x="34"/>
        <item x="10"/>
        <item x="2"/>
        <item x="1"/>
        <item x="7"/>
        <item x="6"/>
        <item x="3"/>
        <item x="4"/>
        <item x="8"/>
        <item x="9"/>
        <item x="5"/>
        <item x="11"/>
        <item x="13"/>
        <item x="27"/>
        <item x="24"/>
        <item x="25"/>
        <item x="26"/>
        <item x="15"/>
        <item m="1" x="36"/>
        <item m="1" x="35"/>
        <item x="33"/>
        <item x="28"/>
        <item x="0"/>
        <item x="12"/>
        <item x="14"/>
        <item m="1" x="37"/>
        <item m="1" x="38"/>
        <item m="1" x="39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0" item="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C6BD2-C7C4-4F8D-B0B7-4DF6977F0F6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:G17" firstHeaderRow="1" firstDataRow="1" firstDataCol="1"/>
  <pivotFields count="3">
    <pivotField axis="axisRow" showAll="0">
      <items count="11">
        <item h="1" x="0"/>
        <item x="2"/>
        <item h="1" x="8"/>
        <item h="1" x="3"/>
        <item x="4"/>
        <item h="1" x="5"/>
        <item h="1" x="6"/>
        <item h="1" x="7"/>
        <item h="1" x="1"/>
        <item x="9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3"/>
        <item t="default"/>
      </items>
    </pivotField>
    <pivotField showAll="0"/>
  </pivotFields>
  <rowFields count="2">
    <field x="0"/>
    <field x="1"/>
  </rowFields>
  <rowItems count="16">
    <i>
      <x v="1"/>
    </i>
    <i r="1">
      <x v="5"/>
    </i>
    <i r="1">
      <x v="15"/>
    </i>
    <i r="1">
      <x v="16"/>
    </i>
    <i r="1">
      <x v="17"/>
    </i>
    <i r="1">
      <x v="19"/>
    </i>
    <i r="1">
      <x v="20"/>
    </i>
    <i>
      <x v="4"/>
    </i>
    <i r="1">
      <x v="10"/>
    </i>
    <i r="1">
      <x v="11"/>
    </i>
    <i r="1">
      <x v="12"/>
    </i>
    <i r="1">
      <x v="25"/>
    </i>
    <i>
      <x v="9"/>
    </i>
    <i r="1">
      <x v="23"/>
    </i>
    <i r="1">
      <x v="2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4" xr16:uid="{D31D6308-891A-4F22-A93E-BAE14E2BB506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4" name="MARCA_DESC" tableColumnId="4"/>
      <queryTableField id="1" name="MODELO_DESC" tableColumnId="1"/>
      <queryTableField id="2" name="Recuento" tableColumnId="2"/>
      <queryTableField id="3" dataBound="0" tableColumnId="3"/>
    </queryTableFields>
  </queryTableRefresh>
  <extLst>
    <ext xmlns:x15="http://schemas.microsoft.com/office/spreadsheetml/2010/11/main" uri="{883FBD77-0823-4a55-B5E3-86C4891E6966}">
      <x15:queryTable sourceDataName="Consulta - Modelos Bas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9CC512D2-0B00-4674-B06E-FE85881629DE}" autoFormatId="16" applyNumberFormats="0" applyBorderFormats="0" applyFontFormats="0" applyPatternFormats="0" applyAlignmentFormats="0" applyWidthHeightFormats="0">
  <queryTableRefresh nextId="5" unboundColumnsRight="1">
    <queryTableFields count="3">
      <queryTableField id="3" name="Fabricante" tableColumnId="3"/>
      <queryTableField id="1" name="MPCR" tableColumnId="1"/>
      <queryTableField id="2" dataBound="0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CA_DESC" xr10:uid="{C7800A24-CE8B-45FB-B923-140712510800}" sourceName="MARCA_DESC">
  <extLst>
    <x:ext xmlns:x15="http://schemas.microsoft.com/office/spreadsheetml/2010/11/main" uri="{2F2917AC-EB37-4324-AD4E-5DD8C200BD13}">
      <x15:tableSlicerCache tableId="3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CA_DESC" xr10:uid="{29393C20-2599-4E31-BB10-0A562104A98D}" cache="SegmentaciónDeDatos_MARCA_DESC" caption="MARCA_DESC" style="SlicerStyleDark6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96FC7-EEB0-4D3B-B59A-39D794C1B6E0}" name="Modelos" displayName="Modelos" ref="A1:O162" totalsRowShown="0">
  <autoFilter ref="A1:O162" xr:uid="{DCF96FC7-EEB0-4D3B-B59A-39D794C1B6E0}">
    <filterColumn colId="14">
      <filters>
        <filter val="ATM"/>
      </filters>
    </filterColumn>
  </autoFilter>
  <sortState xmlns:xlrd2="http://schemas.microsoft.com/office/spreadsheetml/2017/richdata2" ref="A2:O162">
    <sortCondition ref="N1:N162"/>
  </sortState>
  <tableColumns count="15">
    <tableColumn id="13" xr3:uid="{54651A0A-32B0-4FE0-A1AF-EBF5DDFB81A3}" name="Fabricante" dataDxfId="12"/>
    <tableColumn id="12" xr3:uid="{EEFACB01-DB12-44D9-9040-D6684AD628C6}" name="Modelo Base" dataDxfId="11"/>
    <tableColumn id="1" xr3:uid="{1E73259F-A3E3-44CE-AFA9-2FF82F979656}" name="MODELOS"/>
    <tableColumn id="2" xr3:uid="{B938AD34-302A-4478-AC57-1F7711F3DE47}" name="AFD"/>
    <tableColumn id="3" xr3:uid="{5A26AC48-9BFA-43C1-A8ED-6E60836EB6FD}" name="CDM"/>
    <tableColumn id="11" xr3:uid="{6EA46632-5E9D-433C-87C0-5AC9506D13BB}" name="CCDM" dataDxfId="10"/>
    <tableColumn id="4" xr3:uid="{E6FBC4D3-F9C3-4F23-8E4C-337DF8C5354D}" name="Dispensador GRG"/>
    <tableColumn id="8" xr3:uid="{ABA4F598-4338-4CF1-AD44-EA5C2D606981}" name="Dispensador GRG H21" dataDxfId="9"/>
    <tableColumn id="9" xr3:uid="{92976893-28CB-41CC-B352-32CC8C08A65F}" name="GRG CAM" dataDxfId="8"/>
    <tableColumn id="14" xr3:uid="{23718A21-4326-4D03-BA90-65DA4DE253BF}" name="GRG REC" dataDxfId="7"/>
    <tableColumn id="5" xr3:uid="{5A1876B2-FFE6-4469-90D5-A371C7641399}" name="ENA"/>
    <tableColumn id="6" xr3:uid="{DCAEB12E-9281-48B6-B2E6-4A52C0077D7F}" name="ECRM"/>
    <tableColumn id="7" xr3:uid="{25055EDE-084A-4A25-B19A-11A3121EDFF8}" name="IDM"/>
    <tableColumn id="15" xr3:uid="{1892865C-7430-4FD6-91E6-9F332018E87E}" name="MPCR"/>
    <tableColumn id="10" xr3:uid="{8B366C53-C4E6-4716-BCAB-8E6EBF818659}" name="Negocio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3161BC-2684-4525-9B70-E87979DD27B6}" name="Modelos_Base" displayName="Modelos_Base" ref="S1:V132" tableType="queryTable" totalsRowShown="0">
  <autoFilter ref="S1:V132" xr:uid="{9C3161BC-2684-4525-9B70-E87979DD27B6}"/>
  <sortState xmlns:xlrd2="http://schemas.microsoft.com/office/spreadsheetml/2017/richdata2" ref="S2:V132">
    <sortCondition ref="V1:V132"/>
  </sortState>
  <tableColumns count="4">
    <tableColumn id="4" xr3:uid="{8A350F4F-ED63-4F6E-A055-ED55B7444B45}" uniqueName="4" name="MARCA_DESC" queryTableFieldId="4" dataDxfId="6"/>
    <tableColumn id="1" xr3:uid="{A2D0DF4B-ED7D-46CE-A3C8-22E76C0F4B6B}" uniqueName="1" name="MODELO_DESC" queryTableFieldId="1" dataDxfId="5"/>
    <tableColumn id="2" xr3:uid="{65678F97-7E50-45B4-B8EB-7F29D1686C6C}" uniqueName="2" name="Recuento" queryTableFieldId="2" dataDxfId="4"/>
    <tableColumn id="3" xr3:uid="{9081F9FE-35ED-4011-9730-9ACA44BC74F2}" uniqueName="3" name="Modelos MPCR" queryTableFieldId="3" dataDxfId="3">
      <calculatedColumnFormula>COUNTIF(Modelos[Modelo Base], Modelos_Base[[#This Row],[MODELO_DESC]])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39699B-4FA7-4B19-81A6-2098854499FE}" name="MPCR" displayName="MPCR" ref="A1:C27" tableType="queryTable" totalsRowShown="0">
  <autoFilter ref="A1:C27" xr:uid="{EA39699B-4FA7-4B19-81A6-2098854499FE}"/>
  <tableColumns count="3">
    <tableColumn id="3" xr3:uid="{AF06B758-CF22-4CC2-B129-7A8ADF13500E}" uniqueName="3" name="Fabricante" queryTableFieldId="3" dataDxfId="2"/>
    <tableColumn id="1" xr3:uid="{88BBFC62-8224-4813-94FA-EC2F9ABA6E09}" uniqueName="1" name="MPCR" queryTableFieldId="1" dataDxfId="1"/>
    <tableColumn id="2" xr3:uid="{4FF25750-72A5-4A14-A9DA-799060FB750A}" uniqueName="2" name="Call Rate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6245-72E3-4BEF-B7EF-283574D93804}">
  <dimension ref="A1:J11"/>
  <sheetViews>
    <sheetView workbookViewId="0">
      <selection activeCell="C28" sqref="C28"/>
    </sheetView>
  </sheetViews>
  <sheetFormatPr baseColWidth="10" defaultColWidth="11.42578125" defaultRowHeight="15" x14ac:dyDescent="0.25"/>
  <cols>
    <col min="1" max="1" width="17.5703125" bestFit="1" customWidth="1"/>
    <col min="2" max="2" width="8" bestFit="1" customWidth="1"/>
    <col min="3" max="5" width="22.42578125" bestFit="1" customWidth="1"/>
    <col min="6" max="6" width="17.5703125" bestFit="1" customWidth="1"/>
    <col min="7" max="7" width="8" bestFit="1" customWidth="1"/>
    <col min="8" max="10" width="22.42578125" bestFit="1" customWidth="1"/>
    <col min="11" max="11" width="12.5703125" bestFit="1" customWidth="1"/>
  </cols>
  <sheetData>
    <row r="1" spans="1:10" x14ac:dyDescent="0.25">
      <c r="F1" s="8" t="s">
        <v>0</v>
      </c>
      <c r="G1" t="s">
        <v>1</v>
      </c>
    </row>
    <row r="3" spans="1:10" x14ac:dyDescent="0.25">
      <c r="A3" s="8" t="s">
        <v>2</v>
      </c>
      <c r="F3" s="8" t="s">
        <v>2</v>
      </c>
      <c r="I3" t="s">
        <v>3</v>
      </c>
      <c r="J3" t="s">
        <v>4</v>
      </c>
    </row>
    <row r="4" spans="1:10" x14ac:dyDescent="0.25">
      <c r="A4" s="3" t="s">
        <v>4</v>
      </c>
      <c r="F4" s="3" t="s">
        <v>5</v>
      </c>
      <c r="I4" t="s">
        <v>6</v>
      </c>
      <c r="J4" t="s">
        <v>7</v>
      </c>
    </row>
    <row r="5" spans="1:10" x14ac:dyDescent="0.25">
      <c r="A5" s="3" t="s">
        <v>3</v>
      </c>
      <c r="F5" s="3" t="s">
        <v>8</v>
      </c>
      <c r="I5" t="s">
        <v>9</v>
      </c>
      <c r="J5" t="s">
        <v>1</v>
      </c>
    </row>
    <row r="6" spans="1:10" x14ac:dyDescent="0.25">
      <c r="A6" s="3" t="s">
        <v>6</v>
      </c>
      <c r="F6" s="3" t="s">
        <v>10</v>
      </c>
      <c r="I6" t="s">
        <v>11</v>
      </c>
    </row>
    <row r="7" spans="1:10" x14ac:dyDescent="0.25">
      <c r="A7" s="3" t="s">
        <v>7</v>
      </c>
      <c r="F7" s="3" t="s">
        <v>12</v>
      </c>
    </row>
    <row r="8" spans="1:10" x14ac:dyDescent="0.25">
      <c r="A8" s="3" t="s">
        <v>9</v>
      </c>
      <c r="F8" s="3" t="s">
        <v>13</v>
      </c>
    </row>
    <row r="9" spans="1:10" x14ac:dyDescent="0.25">
      <c r="A9" s="3" t="s">
        <v>1</v>
      </c>
    </row>
    <row r="10" spans="1:10" x14ac:dyDescent="0.25">
      <c r="A10" s="3" t="s">
        <v>11</v>
      </c>
    </row>
    <row r="11" spans="1:10" x14ac:dyDescent="0.25">
      <c r="A11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D646-BAB4-476D-99D1-7E4F926F3CE5}">
  <dimension ref="A1:Y163"/>
  <sheetViews>
    <sheetView showGridLines="0" tabSelected="1" workbookViewId="0">
      <selection activeCell="N1" sqref="N1"/>
    </sheetView>
  </sheetViews>
  <sheetFormatPr baseColWidth="10" defaultColWidth="11.42578125" defaultRowHeight="15" x14ac:dyDescent="0.25"/>
  <cols>
    <col min="1" max="1" width="23.85546875" customWidth="1"/>
    <col min="2" max="2" width="37.140625" customWidth="1"/>
    <col min="3" max="3" width="21.85546875" bestFit="1" customWidth="1"/>
    <col min="4" max="4" width="9.140625" customWidth="1"/>
    <col min="5" max="5" width="9.85546875" customWidth="1"/>
    <col min="6" max="6" width="8.7109375" customWidth="1"/>
    <col min="7" max="7" width="21.140625" customWidth="1"/>
    <col min="8" max="8" width="24.85546875" customWidth="1"/>
    <col min="9" max="9" width="14.28515625" customWidth="1"/>
    <col min="10" max="10" width="13.28515625" customWidth="1"/>
    <col min="11" max="11" width="7" customWidth="1"/>
    <col min="12" max="12" width="13.5703125" customWidth="1"/>
    <col min="13" max="13" width="13" customWidth="1"/>
    <col min="14" max="14" width="13" bestFit="1" customWidth="1"/>
    <col min="18" max="19" width="17.28515625" bestFit="1" customWidth="1"/>
    <col min="20" max="20" width="46.140625" bestFit="1" customWidth="1"/>
    <col min="21" max="21" width="11.7109375" bestFit="1" customWidth="1"/>
    <col min="22" max="22" width="16.85546875" bestFit="1" customWidth="1"/>
  </cols>
  <sheetData>
    <row r="1" spans="1:25" x14ac:dyDescent="0.25">
      <c r="A1" s="3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t="s">
        <v>27</v>
      </c>
      <c r="S1" t="s">
        <v>28</v>
      </c>
      <c r="T1" t="s">
        <v>29</v>
      </c>
      <c r="U1" t="s">
        <v>30</v>
      </c>
      <c r="V1" t="s">
        <v>31</v>
      </c>
      <c r="X1" t="s">
        <v>35</v>
      </c>
      <c r="Y1" t="s">
        <v>278</v>
      </c>
    </row>
    <row r="2" spans="1:25" x14ac:dyDescent="0.25">
      <c r="A2" s="3" t="s">
        <v>3</v>
      </c>
      <c r="B2" s="5" t="s">
        <v>156</v>
      </c>
      <c r="C2" t="s">
        <v>157</v>
      </c>
      <c r="D2" s="1"/>
      <c r="E2" s="1"/>
      <c r="F2" s="1"/>
      <c r="G2" s="1"/>
      <c r="H2" s="1"/>
      <c r="I2" s="1"/>
      <c r="J2" s="1"/>
      <c r="K2" s="1"/>
      <c r="L2" s="1"/>
      <c r="M2" s="1"/>
      <c r="N2" s="2" t="s">
        <v>158</v>
      </c>
      <c r="O2" t="s">
        <v>35</v>
      </c>
      <c r="S2" t="s">
        <v>42</v>
      </c>
      <c r="T2" t="s">
        <v>40</v>
      </c>
      <c r="U2">
        <v>6</v>
      </c>
      <c r="V2">
        <f>COUNTIF(Modelos[Modelo Base], Modelos_Base[[#This Row],[MODELO_DESC]])</f>
        <v>1</v>
      </c>
      <c r="X2" t="s">
        <v>254</v>
      </c>
      <c r="Y2" t="s">
        <v>255</v>
      </c>
    </row>
    <row r="3" spans="1:25" x14ac:dyDescent="0.25">
      <c r="A3" s="3" t="s">
        <v>9</v>
      </c>
      <c r="B3" t="s">
        <v>205</v>
      </c>
      <c r="C3" t="s">
        <v>206</v>
      </c>
      <c r="D3" s="1"/>
      <c r="E3" s="1"/>
      <c r="F3" s="1"/>
      <c r="G3" s="3"/>
      <c r="H3" s="3" t="s">
        <v>206</v>
      </c>
      <c r="I3" s="3"/>
      <c r="J3" s="3"/>
      <c r="K3" s="1"/>
      <c r="L3" s="1"/>
      <c r="M3" s="1"/>
      <c r="N3" s="2" t="s">
        <v>206</v>
      </c>
      <c r="O3" t="s">
        <v>35</v>
      </c>
      <c r="S3" t="s">
        <v>42</v>
      </c>
      <c r="T3" t="s">
        <v>44</v>
      </c>
      <c r="U3">
        <v>1</v>
      </c>
      <c r="V3">
        <f>COUNTIF(Modelos[Modelo Base], Modelos_Base[[#This Row],[MODELO_DESC]])</f>
        <v>1</v>
      </c>
      <c r="X3" t="s">
        <v>254</v>
      </c>
      <c r="Y3" t="s">
        <v>256</v>
      </c>
    </row>
    <row r="4" spans="1:25" x14ac:dyDescent="0.25">
      <c r="A4" s="3" t="s">
        <v>9</v>
      </c>
      <c r="B4" s="2" t="s">
        <v>60</v>
      </c>
      <c r="C4" t="s">
        <v>226</v>
      </c>
      <c r="D4" s="1"/>
      <c r="E4" s="1"/>
      <c r="F4" s="1"/>
      <c r="G4" s="3" t="s">
        <v>59</v>
      </c>
      <c r="H4" s="3"/>
      <c r="I4" s="3"/>
      <c r="J4" s="3"/>
      <c r="K4" s="1"/>
      <c r="L4" s="1"/>
      <c r="M4" s="1"/>
      <c r="N4" s="2" t="s">
        <v>199</v>
      </c>
      <c r="O4" t="s">
        <v>35</v>
      </c>
      <c r="S4" t="s">
        <v>42</v>
      </c>
      <c r="T4" t="s">
        <v>46</v>
      </c>
      <c r="U4">
        <v>1</v>
      </c>
      <c r="V4">
        <f>COUNTIF(Modelos[Modelo Base], Modelos_Base[[#This Row],[MODELO_DESC]])</f>
        <v>1</v>
      </c>
      <c r="X4" t="s">
        <v>254</v>
      </c>
      <c r="Y4" t="s">
        <v>257</v>
      </c>
    </row>
    <row r="5" spans="1:25" x14ac:dyDescent="0.25">
      <c r="A5" s="3" t="s">
        <v>9</v>
      </c>
      <c r="B5" t="s">
        <v>62</v>
      </c>
      <c r="C5" t="s">
        <v>226</v>
      </c>
      <c r="D5" s="1"/>
      <c r="E5" s="1"/>
      <c r="F5" s="1"/>
      <c r="G5" s="3" t="s">
        <v>59</v>
      </c>
      <c r="H5" s="3"/>
      <c r="I5" s="3"/>
      <c r="J5" s="3"/>
      <c r="K5" s="1"/>
      <c r="L5" s="1"/>
      <c r="M5" s="1"/>
      <c r="N5" s="2" t="s">
        <v>199</v>
      </c>
      <c r="O5" t="s">
        <v>35</v>
      </c>
      <c r="S5" t="s">
        <v>42</v>
      </c>
      <c r="T5" t="s">
        <v>48</v>
      </c>
      <c r="U5">
        <v>1</v>
      </c>
      <c r="V5">
        <f>COUNTIF(Modelos[Modelo Base], Modelos_Base[[#This Row],[MODELO_DESC]])</f>
        <v>1</v>
      </c>
      <c r="X5" t="s">
        <v>254</v>
      </c>
      <c r="Y5" t="s">
        <v>258</v>
      </c>
    </row>
    <row r="6" spans="1:25" x14ac:dyDescent="0.25">
      <c r="A6" s="3" t="s">
        <v>9</v>
      </c>
      <c r="B6" t="s">
        <v>64</v>
      </c>
      <c r="C6" t="s">
        <v>226</v>
      </c>
      <c r="D6" s="1"/>
      <c r="E6" s="1"/>
      <c r="F6" s="1"/>
      <c r="G6" s="3" t="s">
        <v>59</v>
      </c>
      <c r="H6" s="3"/>
      <c r="I6" s="3"/>
      <c r="J6" s="3"/>
      <c r="K6" s="1"/>
      <c r="L6" s="1"/>
      <c r="M6" s="1"/>
      <c r="N6" s="2" t="s">
        <v>199</v>
      </c>
      <c r="O6" t="s">
        <v>35</v>
      </c>
      <c r="S6" t="s">
        <v>42</v>
      </c>
      <c r="T6" t="s">
        <v>50</v>
      </c>
      <c r="U6">
        <v>5</v>
      </c>
      <c r="V6">
        <f>COUNTIF(Modelos[Modelo Base], Modelos_Base[[#This Row],[MODELO_DESC]])</f>
        <v>1</v>
      </c>
      <c r="X6" t="s">
        <v>254</v>
      </c>
      <c r="Y6" t="s">
        <v>259</v>
      </c>
    </row>
    <row r="7" spans="1:25" x14ac:dyDescent="0.25">
      <c r="A7" s="3" t="s">
        <v>9</v>
      </c>
      <c r="B7" t="s">
        <v>66</v>
      </c>
      <c r="C7" t="s">
        <v>226</v>
      </c>
      <c r="D7" s="1"/>
      <c r="E7" s="1"/>
      <c r="F7" s="1"/>
      <c r="G7" s="3" t="s">
        <v>59</v>
      </c>
      <c r="H7" s="3"/>
      <c r="I7" s="3"/>
      <c r="J7" s="3"/>
      <c r="K7" s="1"/>
      <c r="L7" s="1"/>
      <c r="M7" s="1"/>
      <c r="N7" s="2" t="s">
        <v>199</v>
      </c>
      <c r="O7" t="s">
        <v>35</v>
      </c>
      <c r="S7" t="s">
        <v>42</v>
      </c>
      <c r="T7" t="s">
        <v>53</v>
      </c>
      <c r="U7">
        <v>1</v>
      </c>
      <c r="V7">
        <f>COUNTIF(Modelos[Modelo Base], Modelos_Base[[#This Row],[MODELO_DESC]])</f>
        <v>1</v>
      </c>
      <c r="X7" t="s">
        <v>254</v>
      </c>
      <c r="Y7" t="s">
        <v>260</v>
      </c>
    </row>
    <row r="8" spans="1:25" x14ac:dyDescent="0.25">
      <c r="A8" s="4" t="s">
        <v>59</v>
      </c>
      <c r="B8" s="2" t="s">
        <v>68</v>
      </c>
      <c r="C8" t="s">
        <v>225</v>
      </c>
      <c r="D8" s="1"/>
      <c r="E8" s="1"/>
      <c r="F8" s="1"/>
      <c r="G8" s="3" t="s">
        <v>59</v>
      </c>
      <c r="H8" s="3"/>
      <c r="I8" s="3" t="s">
        <v>203</v>
      </c>
      <c r="J8" s="3"/>
      <c r="K8" s="1"/>
      <c r="L8" s="1"/>
      <c r="M8" s="1"/>
      <c r="N8" s="2" t="s">
        <v>204</v>
      </c>
      <c r="O8" t="s">
        <v>35</v>
      </c>
      <c r="S8" t="s">
        <v>42</v>
      </c>
      <c r="T8" t="s">
        <v>55</v>
      </c>
      <c r="U8">
        <v>1</v>
      </c>
      <c r="V8">
        <f>COUNTIF(Modelos[Modelo Base], Modelos_Base[[#This Row],[MODELO_DESC]])</f>
        <v>1</v>
      </c>
      <c r="X8" t="s">
        <v>275</v>
      </c>
      <c r="Y8" t="s">
        <v>276</v>
      </c>
    </row>
    <row r="9" spans="1:25" x14ac:dyDescent="0.25">
      <c r="A9" s="4" t="s">
        <v>59</v>
      </c>
      <c r="B9" s="2" t="s">
        <v>213</v>
      </c>
      <c r="C9" t="s">
        <v>225</v>
      </c>
      <c r="D9" s="1"/>
      <c r="E9" s="1"/>
      <c r="F9" s="1"/>
      <c r="G9" s="3" t="s">
        <v>59</v>
      </c>
      <c r="H9" s="3"/>
      <c r="I9" s="3" t="s">
        <v>203</v>
      </c>
      <c r="J9" s="3"/>
      <c r="K9" s="1"/>
      <c r="L9" s="1"/>
      <c r="M9" s="1"/>
      <c r="N9" s="2" t="s">
        <v>204</v>
      </c>
      <c r="O9" t="s">
        <v>35</v>
      </c>
      <c r="S9" t="s">
        <v>42</v>
      </c>
      <c r="T9" t="s">
        <v>57</v>
      </c>
      <c r="U9">
        <v>780</v>
      </c>
      <c r="V9">
        <f>COUNTIF(Modelos[Modelo Base], Modelos_Base[[#This Row],[MODELO_DESC]])</f>
        <v>1</v>
      </c>
      <c r="X9" t="s">
        <v>230</v>
      </c>
      <c r="Y9" t="s">
        <v>231</v>
      </c>
    </row>
    <row r="10" spans="1:25" x14ac:dyDescent="0.25">
      <c r="A10" s="4" t="s">
        <v>59</v>
      </c>
      <c r="B10" s="2" t="s">
        <v>216</v>
      </c>
      <c r="C10" t="s">
        <v>225</v>
      </c>
      <c r="D10" s="1"/>
      <c r="E10" s="1"/>
      <c r="F10" s="1"/>
      <c r="G10" s="3" t="s">
        <v>59</v>
      </c>
      <c r="H10" s="3"/>
      <c r="I10" s="3" t="s">
        <v>203</v>
      </c>
      <c r="J10" s="3"/>
      <c r="K10" s="1"/>
      <c r="L10" s="1"/>
      <c r="M10" s="1"/>
      <c r="N10" s="2" t="s">
        <v>204</v>
      </c>
      <c r="O10" t="s">
        <v>35</v>
      </c>
      <c r="S10" t="s">
        <v>42</v>
      </c>
      <c r="T10" t="s">
        <v>61</v>
      </c>
      <c r="U10">
        <v>3</v>
      </c>
      <c r="V10">
        <f>COUNTIF(Modelos[Modelo Base], Modelos_Base[[#This Row],[MODELO_DESC]])</f>
        <v>1</v>
      </c>
      <c r="X10" t="s">
        <v>230</v>
      </c>
      <c r="Y10" t="s">
        <v>232</v>
      </c>
    </row>
    <row r="11" spans="1:25" x14ac:dyDescent="0.25">
      <c r="A11" s="4" t="s">
        <v>59</v>
      </c>
      <c r="B11" s="2" t="s">
        <v>70</v>
      </c>
      <c r="C11" t="s">
        <v>225</v>
      </c>
      <c r="D11" s="1"/>
      <c r="E11" s="1"/>
      <c r="F11" s="1"/>
      <c r="G11" s="3" t="s">
        <v>59</v>
      </c>
      <c r="H11" s="3"/>
      <c r="I11" s="3" t="s">
        <v>203</v>
      </c>
      <c r="J11" s="3"/>
      <c r="K11" s="1"/>
      <c r="L11" s="1"/>
      <c r="M11" s="1"/>
      <c r="N11" s="2" t="s">
        <v>204</v>
      </c>
      <c r="O11" t="s">
        <v>35</v>
      </c>
      <c r="S11" t="s">
        <v>42</v>
      </c>
      <c r="T11" t="s">
        <v>63</v>
      </c>
      <c r="U11">
        <v>2</v>
      </c>
      <c r="V11">
        <f>COUNTIF(Modelos[Modelo Base], Modelos_Base[[#This Row],[MODELO_DESC]])</f>
        <v>1</v>
      </c>
      <c r="X11" t="s">
        <v>230</v>
      </c>
      <c r="Y11" t="s">
        <v>233</v>
      </c>
    </row>
    <row r="12" spans="1:25" x14ac:dyDescent="0.25">
      <c r="A12" s="3" t="s">
        <v>9</v>
      </c>
      <c r="B12" t="s">
        <v>220</v>
      </c>
      <c r="C12" t="s">
        <v>225</v>
      </c>
      <c r="D12" s="1"/>
      <c r="E12" s="1"/>
      <c r="F12" s="1"/>
      <c r="G12" s="3" t="s">
        <v>59</v>
      </c>
      <c r="H12" s="3"/>
      <c r="I12" s="3" t="s">
        <v>203</v>
      </c>
      <c r="J12" s="3"/>
      <c r="K12" s="1"/>
      <c r="L12" s="1"/>
      <c r="M12" s="1"/>
      <c r="N12" s="2" t="s">
        <v>204</v>
      </c>
      <c r="O12" t="s">
        <v>35</v>
      </c>
      <c r="S12" t="s">
        <v>42</v>
      </c>
      <c r="T12" t="s">
        <v>65</v>
      </c>
      <c r="U12">
        <v>3</v>
      </c>
      <c r="V12">
        <f>COUNTIF(Modelos[Modelo Base], Modelos_Base[[#This Row],[MODELO_DESC]])</f>
        <v>1</v>
      </c>
      <c r="X12" t="s">
        <v>230</v>
      </c>
      <c r="Y12" t="s">
        <v>234</v>
      </c>
    </row>
    <row r="13" spans="1:25" x14ac:dyDescent="0.25">
      <c r="A13" s="3" t="s">
        <v>9</v>
      </c>
      <c r="B13" t="s">
        <v>221</v>
      </c>
      <c r="C13" t="s">
        <v>225</v>
      </c>
      <c r="D13" s="1"/>
      <c r="E13" s="1"/>
      <c r="F13" s="1"/>
      <c r="G13" s="3" t="s">
        <v>59</v>
      </c>
      <c r="H13" s="3"/>
      <c r="I13" s="3" t="s">
        <v>203</v>
      </c>
      <c r="J13" s="3"/>
      <c r="K13" s="1"/>
      <c r="L13" s="1"/>
      <c r="M13" s="1"/>
      <c r="N13" s="2" t="s">
        <v>204</v>
      </c>
      <c r="O13" t="s">
        <v>35</v>
      </c>
      <c r="S13" t="s">
        <v>42</v>
      </c>
      <c r="T13" t="s">
        <v>67</v>
      </c>
      <c r="U13">
        <v>5</v>
      </c>
      <c r="V13">
        <f>COUNTIF(Modelos[Modelo Base], Modelos_Base[[#This Row],[MODELO_DESC]])</f>
        <v>1</v>
      </c>
      <c r="X13" t="s">
        <v>230</v>
      </c>
      <c r="Y13" t="s">
        <v>235</v>
      </c>
    </row>
    <row r="14" spans="1:25" x14ac:dyDescent="0.25">
      <c r="A14" s="3" t="s">
        <v>9</v>
      </c>
      <c r="B14" t="s">
        <v>222</v>
      </c>
      <c r="C14" t="s">
        <v>225</v>
      </c>
      <c r="D14" s="1"/>
      <c r="E14" s="1"/>
      <c r="F14" s="1"/>
      <c r="G14" s="3" t="s">
        <v>59</v>
      </c>
      <c r="H14" s="3"/>
      <c r="I14" s="3" t="s">
        <v>203</v>
      </c>
      <c r="J14" s="3"/>
      <c r="K14" s="1"/>
      <c r="L14" s="1"/>
      <c r="M14" s="1"/>
      <c r="N14" s="2" t="s">
        <v>204</v>
      </c>
      <c r="O14" t="s">
        <v>35</v>
      </c>
      <c r="S14" t="s">
        <v>42</v>
      </c>
      <c r="T14" t="s">
        <v>219</v>
      </c>
      <c r="U14">
        <v>5</v>
      </c>
      <c r="V14">
        <f>COUNTIF(Modelos[Modelo Base], Modelos_Base[[#This Row],[MODELO_DESC]])</f>
        <v>1</v>
      </c>
      <c r="X14" t="s">
        <v>230</v>
      </c>
      <c r="Y14" t="s">
        <v>236</v>
      </c>
    </row>
    <row r="15" spans="1:25" x14ac:dyDescent="0.25">
      <c r="A15" s="4" t="s">
        <v>59</v>
      </c>
      <c r="B15" s="2" t="s">
        <v>223</v>
      </c>
      <c r="C15" t="s">
        <v>289</v>
      </c>
      <c r="F15" s="1"/>
      <c r="H15" s="1"/>
      <c r="I15" s="1"/>
      <c r="J15" s="1" t="s">
        <v>215</v>
      </c>
      <c r="N15" t="s">
        <v>202</v>
      </c>
      <c r="O15" t="s">
        <v>35</v>
      </c>
      <c r="S15" t="s">
        <v>42</v>
      </c>
      <c r="T15" t="s">
        <v>69</v>
      </c>
      <c r="U15">
        <v>9</v>
      </c>
      <c r="V15">
        <f>COUNTIF(Modelos[Modelo Base], Modelos_Base[[#This Row],[MODELO_DESC]])</f>
        <v>1</v>
      </c>
      <c r="X15" t="s">
        <v>230</v>
      </c>
      <c r="Y15" t="s">
        <v>237</v>
      </c>
    </row>
    <row r="16" spans="1:25" x14ac:dyDescent="0.25">
      <c r="A16" s="4" t="s">
        <v>59</v>
      </c>
      <c r="B16" s="2" t="s">
        <v>224</v>
      </c>
      <c r="C16" t="s">
        <v>289</v>
      </c>
      <c r="F16" s="1"/>
      <c r="H16" s="1"/>
      <c r="I16" s="1"/>
      <c r="J16" s="1" t="s">
        <v>215</v>
      </c>
      <c r="N16" t="s">
        <v>202</v>
      </c>
      <c r="O16" t="s">
        <v>35</v>
      </c>
      <c r="S16" t="s">
        <v>42</v>
      </c>
      <c r="T16" t="s">
        <v>71</v>
      </c>
      <c r="U16">
        <v>1</v>
      </c>
      <c r="V16">
        <f>COUNTIF(Modelos[Modelo Base], Modelos_Base[[#This Row],[MODELO_DESC]])</f>
        <v>1</v>
      </c>
      <c r="X16" t="s">
        <v>230</v>
      </c>
      <c r="Y16" t="s">
        <v>238</v>
      </c>
    </row>
    <row r="17" spans="1:25" x14ac:dyDescent="0.25">
      <c r="A17" s="4" t="s">
        <v>59</v>
      </c>
      <c r="B17" s="2" t="s">
        <v>72</v>
      </c>
      <c r="C17" t="s">
        <v>289</v>
      </c>
      <c r="F17" s="1"/>
      <c r="H17" s="1"/>
      <c r="I17" s="1"/>
      <c r="J17" s="1" t="s">
        <v>215</v>
      </c>
      <c r="N17" t="s">
        <v>202</v>
      </c>
      <c r="O17" t="s">
        <v>35</v>
      </c>
      <c r="S17" t="s">
        <v>42</v>
      </c>
      <c r="T17" t="s">
        <v>73</v>
      </c>
      <c r="U17">
        <v>2</v>
      </c>
      <c r="V17">
        <f>COUNTIF(Modelos[Modelo Base], Modelos_Base[[#This Row],[MODELO_DESC]])</f>
        <v>1</v>
      </c>
      <c r="X17" t="s">
        <v>230</v>
      </c>
      <c r="Y17" t="s">
        <v>239</v>
      </c>
    </row>
    <row r="18" spans="1:25" x14ac:dyDescent="0.25">
      <c r="A18" s="4" t="s">
        <v>59</v>
      </c>
      <c r="B18" s="2" t="s">
        <v>227</v>
      </c>
      <c r="C18" t="s">
        <v>289</v>
      </c>
      <c r="F18" s="1"/>
      <c r="H18" s="1"/>
      <c r="I18" s="1"/>
      <c r="J18" s="1" t="s">
        <v>215</v>
      </c>
      <c r="N18" t="s">
        <v>202</v>
      </c>
      <c r="O18" t="s">
        <v>35</v>
      </c>
      <c r="S18" t="s">
        <v>42</v>
      </c>
      <c r="T18" t="s">
        <v>76</v>
      </c>
      <c r="U18">
        <v>25</v>
      </c>
      <c r="V18">
        <f>COUNTIF(Modelos[Modelo Base], Modelos_Base[[#This Row],[MODELO_DESC]])</f>
        <v>1</v>
      </c>
      <c r="X18" t="s">
        <v>230</v>
      </c>
      <c r="Y18" t="s">
        <v>240</v>
      </c>
    </row>
    <row r="19" spans="1:25" x14ac:dyDescent="0.25">
      <c r="A19" s="4" t="s">
        <v>59</v>
      </c>
      <c r="B19" s="2" t="s">
        <v>217</v>
      </c>
      <c r="C19" t="s">
        <v>289</v>
      </c>
      <c r="F19" s="1"/>
      <c r="H19" s="1"/>
      <c r="I19" s="1"/>
      <c r="J19" s="1" t="s">
        <v>215</v>
      </c>
      <c r="N19" t="s">
        <v>202</v>
      </c>
      <c r="O19" t="s">
        <v>35</v>
      </c>
      <c r="S19" t="s">
        <v>42</v>
      </c>
      <c r="T19" t="s">
        <v>77</v>
      </c>
      <c r="U19">
        <v>5</v>
      </c>
      <c r="V19">
        <f>COUNTIF(Modelos[Modelo Base], Modelos_Base[[#This Row],[MODELO_DESC]])</f>
        <v>1</v>
      </c>
      <c r="X19" t="s">
        <v>230</v>
      </c>
      <c r="Y19" t="s">
        <v>241</v>
      </c>
    </row>
    <row r="20" spans="1:25" x14ac:dyDescent="0.25">
      <c r="A20" s="4" t="s">
        <v>74</v>
      </c>
      <c r="B20" s="2" t="s">
        <v>75</v>
      </c>
      <c r="C20" t="s">
        <v>285</v>
      </c>
      <c r="F20" s="1"/>
      <c r="H20" s="1"/>
      <c r="I20" s="1"/>
      <c r="J20" s="1"/>
      <c r="N20" t="s">
        <v>285</v>
      </c>
      <c r="O20" t="s">
        <v>290</v>
      </c>
      <c r="S20" t="s">
        <v>36</v>
      </c>
      <c r="T20" t="s">
        <v>37</v>
      </c>
      <c r="U20">
        <v>1</v>
      </c>
      <c r="V20">
        <f>COUNTIF(Modelos[Modelo Base], Modelos_Base[[#This Row],[MODELO_DESC]])</f>
        <v>1</v>
      </c>
      <c r="X20" t="s">
        <v>230</v>
      </c>
      <c r="Y20" t="s">
        <v>242</v>
      </c>
    </row>
    <row r="21" spans="1:25" x14ac:dyDescent="0.25">
      <c r="A21" s="3" t="s">
        <v>3</v>
      </c>
      <c r="B21" t="s">
        <v>40</v>
      </c>
      <c r="C21" t="s">
        <v>41</v>
      </c>
      <c r="D21" s="1" t="s">
        <v>16</v>
      </c>
      <c r="E21" s="1"/>
      <c r="F21" s="1"/>
      <c r="G21" s="1"/>
      <c r="H21" s="1"/>
      <c r="I21" s="1"/>
      <c r="J21" s="1"/>
      <c r="K21" s="1"/>
      <c r="L21" s="1"/>
      <c r="M21" s="1"/>
      <c r="N21" s="2" t="s">
        <v>42</v>
      </c>
      <c r="O21" t="s">
        <v>35</v>
      </c>
      <c r="S21" t="s">
        <v>42</v>
      </c>
      <c r="T21" t="s">
        <v>88</v>
      </c>
      <c r="U21">
        <v>4</v>
      </c>
      <c r="V21">
        <f>COUNTIF(Modelos[Modelo Base], Modelos_Base[[#This Row],[MODELO_DESC]])</f>
        <v>1</v>
      </c>
      <c r="X21" t="s">
        <v>230</v>
      </c>
      <c r="Y21" t="s">
        <v>243</v>
      </c>
    </row>
    <row r="22" spans="1:25" x14ac:dyDescent="0.25">
      <c r="A22" s="3" t="s">
        <v>3</v>
      </c>
      <c r="B22" t="s">
        <v>44</v>
      </c>
      <c r="C22" t="s">
        <v>41</v>
      </c>
      <c r="D22" s="1" t="s">
        <v>16</v>
      </c>
      <c r="E22" s="1"/>
      <c r="F22" s="1"/>
      <c r="G22" s="1"/>
      <c r="H22" s="1"/>
      <c r="I22" s="1"/>
      <c r="J22" s="1"/>
      <c r="K22" s="1"/>
      <c r="L22" s="1"/>
      <c r="M22" s="1"/>
      <c r="N22" s="2" t="s">
        <v>42</v>
      </c>
      <c r="O22" t="s">
        <v>35</v>
      </c>
      <c r="S22" t="s">
        <v>42</v>
      </c>
      <c r="T22" t="s">
        <v>91</v>
      </c>
      <c r="U22">
        <v>3</v>
      </c>
      <c r="V22">
        <f>COUNTIF(Modelos[Modelo Base], Modelos_Base[[#This Row],[MODELO_DESC]])</f>
        <v>1</v>
      </c>
      <c r="X22" t="s">
        <v>230</v>
      </c>
      <c r="Y22" t="s">
        <v>244</v>
      </c>
    </row>
    <row r="23" spans="1:25" x14ac:dyDescent="0.25">
      <c r="A23" s="3" t="s">
        <v>3</v>
      </c>
      <c r="B23" t="s">
        <v>46</v>
      </c>
      <c r="C23" t="s">
        <v>41</v>
      </c>
      <c r="D23" s="1" t="s">
        <v>16</v>
      </c>
      <c r="E23" s="1"/>
      <c r="F23" s="1"/>
      <c r="G23" s="1"/>
      <c r="H23" s="1"/>
      <c r="I23" s="1"/>
      <c r="J23" s="1"/>
      <c r="K23" s="1"/>
      <c r="L23" s="1"/>
      <c r="M23" s="1"/>
      <c r="N23" s="2" t="s">
        <v>42</v>
      </c>
      <c r="O23" t="s">
        <v>35</v>
      </c>
      <c r="S23" t="s">
        <v>42</v>
      </c>
      <c r="T23" t="s">
        <v>93</v>
      </c>
      <c r="U23">
        <v>10</v>
      </c>
      <c r="V23">
        <f>COUNTIF(Modelos[Modelo Base], Modelos_Base[[#This Row],[MODELO_DESC]])</f>
        <v>1</v>
      </c>
      <c r="X23" t="s">
        <v>230</v>
      </c>
      <c r="Y23" t="s">
        <v>245</v>
      </c>
    </row>
    <row r="24" spans="1:25" x14ac:dyDescent="0.25">
      <c r="A24" s="3" t="s">
        <v>3</v>
      </c>
      <c r="B24" t="s">
        <v>48</v>
      </c>
      <c r="C24" t="s">
        <v>41</v>
      </c>
      <c r="D24" s="1" t="s">
        <v>16</v>
      </c>
      <c r="E24" s="1"/>
      <c r="F24" s="1"/>
      <c r="G24" s="1"/>
      <c r="H24" s="1"/>
      <c r="I24" s="1"/>
      <c r="J24" s="1"/>
      <c r="K24" s="1"/>
      <c r="L24" s="1"/>
      <c r="M24" s="1"/>
      <c r="N24" s="2" t="s">
        <v>42</v>
      </c>
      <c r="O24" t="s">
        <v>35</v>
      </c>
      <c r="S24" t="s">
        <v>36</v>
      </c>
      <c r="T24" t="s">
        <v>39</v>
      </c>
      <c r="U24">
        <v>1</v>
      </c>
      <c r="V24">
        <f>COUNTIF(Modelos[Modelo Base], Modelos_Base[[#This Row],[MODELO_DESC]])</f>
        <v>1</v>
      </c>
      <c r="X24" t="s">
        <v>230</v>
      </c>
      <c r="Y24" t="s">
        <v>246</v>
      </c>
    </row>
    <row r="25" spans="1:25" x14ac:dyDescent="0.25">
      <c r="A25" s="3" t="s">
        <v>3</v>
      </c>
      <c r="B25" t="s">
        <v>50</v>
      </c>
      <c r="C25" t="s">
        <v>51</v>
      </c>
      <c r="D25" s="1" t="s">
        <v>16</v>
      </c>
      <c r="E25" s="1"/>
      <c r="F25" s="1"/>
      <c r="G25" s="1"/>
      <c r="H25" s="1"/>
      <c r="I25" s="1"/>
      <c r="J25" s="1"/>
      <c r="K25" s="1"/>
      <c r="L25" s="1"/>
      <c r="M25" s="1"/>
      <c r="N25" s="2" t="s">
        <v>42</v>
      </c>
      <c r="O25" t="s">
        <v>35</v>
      </c>
      <c r="S25" t="s">
        <v>42</v>
      </c>
      <c r="T25" t="s">
        <v>95</v>
      </c>
      <c r="U25">
        <v>8</v>
      </c>
      <c r="V25">
        <f>COUNTIF(Modelos[Modelo Base], Modelos_Base[[#This Row],[MODELO_DESC]])</f>
        <v>1</v>
      </c>
      <c r="X25" t="s">
        <v>230</v>
      </c>
      <c r="Y25" t="s">
        <v>247</v>
      </c>
    </row>
    <row r="26" spans="1:25" x14ac:dyDescent="0.25">
      <c r="A26" s="3" t="s">
        <v>3</v>
      </c>
      <c r="B26" t="s">
        <v>53</v>
      </c>
      <c r="C26" t="s">
        <v>41</v>
      </c>
      <c r="D26" s="1" t="s">
        <v>16</v>
      </c>
      <c r="E26" s="1"/>
      <c r="F26" s="1"/>
      <c r="G26" s="1"/>
      <c r="H26" s="1"/>
      <c r="I26" s="1"/>
      <c r="J26" s="1"/>
      <c r="K26" s="1"/>
      <c r="L26" s="1"/>
      <c r="M26" s="1"/>
      <c r="N26" s="2" t="s">
        <v>42</v>
      </c>
      <c r="O26" t="s">
        <v>35</v>
      </c>
      <c r="S26" t="s">
        <v>42</v>
      </c>
      <c r="T26" t="s">
        <v>97</v>
      </c>
      <c r="U26">
        <v>3</v>
      </c>
      <c r="V26">
        <f>COUNTIF(Modelos[Modelo Base], Modelos_Base[[#This Row],[MODELO_DESC]])</f>
        <v>1</v>
      </c>
      <c r="X26" t="s">
        <v>230</v>
      </c>
      <c r="Y26" t="s">
        <v>248</v>
      </c>
    </row>
    <row r="27" spans="1:25" x14ac:dyDescent="0.25">
      <c r="A27" s="3" t="s">
        <v>3</v>
      </c>
      <c r="B27" t="s">
        <v>55</v>
      </c>
      <c r="C27" t="s">
        <v>41</v>
      </c>
      <c r="D27" s="1" t="s">
        <v>16</v>
      </c>
      <c r="E27" s="1"/>
      <c r="F27" s="1"/>
      <c r="G27" s="1"/>
      <c r="H27" s="1"/>
      <c r="I27" s="1"/>
      <c r="J27" s="1"/>
      <c r="K27" s="1"/>
      <c r="L27" s="1"/>
      <c r="M27" s="1"/>
      <c r="N27" s="2" t="s">
        <v>42</v>
      </c>
      <c r="O27" t="s">
        <v>35</v>
      </c>
      <c r="S27" t="s">
        <v>99</v>
      </c>
      <c r="T27" t="s">
        <v>98</v>
      </c>
      <c r="U27">
        <v>1</v>
      </c>
      <c r="V27">
        <f>COUNTIF(Modelos[Modelo Base], Modelos_Base[[#This Row],[MODELO_DESC]])</f>
        <v>1</v>
      </c>
      <c r="X27" t="s">
        <v>230</v>
      </c>
      <c r="Y27" t="s">
        <v>249</v>
      </c>
    </row>
    <row r="28" spans="1:25" x14ac:dyDescent="0.25">
      <c r="A28" s="3" t="s">
        <v>3</v>
      </c>
      <c r="B28" t="s">
        <v>57</v>
      </c>
      <c r="C28" t="s">
        <v>58</v>
      </c>
      <c r="D28" s="1" t="s">
        <v>16</v>
      </c>
      <c r="E28" s="1"/>
      <c r="F28" s="1"/>
      <c r="G28" s="1"/>
      <c r="H28" s="1"/>
      <c r="I28" s="1"/>
      <c r="J28" s="1"/>
      <c r="K28" s="1"/>
      <c r="L28" s="1"/>
      <c r="M28" s="1"/>
      <c r="N28" s="2" t="s">
        <v>42</v>
      </c>
      <c r="O28" t="s">
        <v>35</v>
      </c>
      <c r="S28" t="s">
        <v>99</v>
      </c>
      <c r="T28" t="s">
        <v>100</v>
      </c>
      <c r="U28">
        <v>10</v>
      </c>
      <c r="V28">
        <f>COUNTIF(Modelos[Modelo Base], Modelos_Base[[#This Row],[MODELO_DESC]])</f>
        <v>1</v>
      </c>
      <c r="X28" t="s">
        <v>42</v>
      </c>
      <c r="Y28" t="s">
        <v>229</v>
      </c>
    </row>
    <row r="29" spans="1:25" x14ac:dyDescent="0.25">
      <c r="A29" s="3" t="s">
        <v>3</v>
      </c>
      <c r="B29" t="s">
        <v>61</v>
      </c>
      <c r="C29" t="s">
        <v>58</v>
      </c>
      <c r="D29" s="1" t="s">
        <v>16</v>
      </c>
      <c r="E29" s="1"/>
      <c r="F29" s="1"/>
      <c r="G29" s="1"/>
      <c r="H29" s="1"/>
      <c r="I29" s="1"/>
      <c r="J29" s="1"/>
      <c r="K29" s="1"/>
      <c r="L29" s="1"/>
      <c r="M29" s="1"/>
      <c r="N29" s="2" t="s">
        <v>42</v>
      </c>
      <c r="O29" t="s">
        <v>35</v>
      </c>
      <c r="S29" t="s">
        <v>42</v>
      </c>
      <c r="T29" t="s">
        <v>101</v>
      </c>
      <c r="U29">
        <v>1</v>
      </c>
      <c r="V29">
        <f>COUNTIF(Modelos[Modelo Base], Modelos_Base[[#This Row],[MODELO_DESC]])</f>
        <v>1</v>
      </c>
      <c r="X29" t="s">
        <v>42</v>
      </c>
      <c r="Y29" t="s">
        <v>250</v>
      </c>
    </row>
    <row r="30" spans="1:25" x14ac:dyDescent="0.25">
      <c r="A30" s="3" t="s">
        <v>3</v>
      </c>
      <c r="B30" t="s">
        <v>63</v>
      </c>
      <c r="C30" t="s">
        <v>58</v>
      </c>
      <c r="D30" s="1" t="s">
        <v>16</v>
      </c>
      <c r="E30" s="1"/>
      <c r="F30" s="1"/>
      <c r="G30" s="1"/>
      <c r="H30" s="1"/>
      <c r="I30" s="1"/>
      <c r="J30" s="1"/>
      <c r="K30" s="1"/>
      <c r="L30" s="1"/>
      <c r="M30" s="1"/>
      <c r="N30" s="2" t="s">
        <v>42</v>
      </c>
      <c r="O30" t="s">
        <v>35</v>
      </c>
      <c r="S30" t="s">
        <v>42</v>
      </c>
      <c r="T30" t="s">
        <v>102</v>
      </c>
      <c r="U30">
        <v>1</v>
      </c>
      <c r="V30">
        <f>COUNTIF(Modelos[Modelo Base], Modelos_Base[[#This Row],[MODELO_DESC]])</f>
        <v>1</v>
      </c>
      <c r="X30" t="s">
        <v>42</v>
      </c>
      <c r="Y30" t="s">
        <v>251</v>
      </c>
    </row>
    <row r="31" spans="1:25" x14ac:dyDescent="0.25">
      <c r="A31" s="3" t="s">
        <v>3</v>
      </c>
      <c r="B31" t="s">
        <v>65</v>
      </c>
      <c r="C31" t="s">
        <v>58</v>
      </c>
      <c r="D31" s="1" t="s">
        <v>16</v>
      </c>
      <c r="E31" s="1"/>
      <c r="F31" s="1"/>
      <c r="G31" s="1"/>
      <c r="H31" s="1"/>
      <c r="I31" s="1"/>
      <c r="J31" s="1"/>
      <c r="K31" s="1"/>
      <c r="L31" s="1"/>
      <c r="M31" s="1"/>
      <c r="N31" s="2" t="s">
        <v>42</v>
      </c>
      <c r="O31" t="s">
        <v>35</v>
      </c>
      <c r="S31" t="s">
        <v>42</v>
      </c>
      <c r="T31" t="s">
        <v>103</v>
      </c>
      <c r="U31">
        <v>1</v>
      </c>
      <c r="V31">
        <f>COUNTIF(Modelos[Modelo Base], Modelos_Base[[#This Row],[MODELO_DESC]])</f>
        <v>1</v>
      </c>
      <c r="X31" t="s">
        <v>42</v>
      </c>
      <c r="Y31" t="s">
        <v>252</v>
      </c>
    </row>
    <row r="32" spans="1:25" x14ac:dyDescent="0.25">
      <c r="A32" s="3" t="s">
        <v>3</v>
      </c>
      <c r="B32" t="s">
        <v>67</v>
      </c>
      <c r="C32" t="s">
        <v>58</v>
      </c>
      <c r="D32" s="1" t="s">
        <v>16</v>
      </c>
      <c r="E32" s="1"/>
      <c r="F32" s="1"/>
      <c r="G32" s="1"/>
      <c r="H32" s="1"/>
      <c r="I32" s="1"/>
      <c r="J32" s="1"/>
      <c r="K32" s="1"/>
      <c r="L32" s="1"/>
      <c r="M32" s="1"/>
      <c r="N32" s="2" t="s">
        <v>42</v>
      </c>
      <c r="O32" t="s">
        <v>35</v>
      </c>
      <c r="S32" t="s">
        <v>42</v>
      </c>
      <c r="T32" t="s">
        <v>104</v>
      </c>
      <c r="U32">
        <v>128</v>
      </c>
      <c r="V32">
        <f>COUNTIF(Modelos[Modelo Base], Modelos_Base[[#This Row],[MODELO_DESC]])</f>
        <v>1</v>
      </c>
      <c r="X32" t="s">
        <v>42</v>
      </c>
      <c r="Y32" t="s">
        <v>253</v>
      </c>
    </row>
    <row r="33" spans="1:25" x14ac:dyDescent="0.25">
      <c r="A33" s="3" t="s">
        <v>3</v>
      </c>
      <c r="B33" t="s">
        <v>219</v>
      </c>
      <c r="C33" t="s">
        <v>51</v>
      </c>
      <c r="D33" s="1" t="s">
        <v>16</v>
      </c>
      <c r="E33" s="1"/>
      <c r="F33" s="1"/>
      <c r="G33" s="1"/>
      <c r="H33" s="1"/>
      <c r="I33" s="1"/>
      <c r="J33" s="1"/>
      <c r="K33" s="1"/>
      <c r="L33" s="1"/>
      <c r="M33" s="1"/>
      <c r="N33" s="2" t="s">
        <v>42</v>
      </c>
      <c r="O33" t="s">
        <v>35</v>
      </c>
      <c r="S33" t="s">
        <v>42</v>
      </c>
      <c r="T33" t="s">
        <v>106</v>
      </c>
      <c r="U33">
        <v>5</v>
      </c>
      <c r="V33">
        <f>COUNTIF(Modelos[Modelo Base], Modelos_Base[[#This Row],[MODELO_DESC]])</f>
        <v>1</v>
      </c>
      <c r="X33" t="s">
        <v>279</v>
      </c>
      <c r="Y33" t="s">
        <v>278</v>
      </c>
    </row>
    <row r="34" spans="1:25" x14ac:dyDescent="0.25">
      <c r="A34" s="3" t="s">
        <v>3</v>
      </c>
      <c r="B34" t="s">
        <v>69</v>
      </c>
      <c r="C34" t="s">
        <v>58</v>
      </c>
      <c r="D34" s="1" t="s">
        <v>16</v>
      </c>
      <c r="E34" s="1"/>
      <c r="F34" s="1"/>
      <c r="G34" s="1"/>
      <c r="H34" s="1"/>
      <c r="I34" s="1"/>
      <c r="J34" s="1"/>
      <c r="K34" s="1"/>
      <c r="L34" s="1"/>
      <c r="M34" s="1"/>
      <c r="N34" s="2" t="s">
        <v>42</v>
      </c>
      <c r="O34" t="s">
        <v>35</v>
      </c>
      <c r="S34" t="s">
        <v>42</v>
      </c>
      <c r="T34" t="s">
        <v>107</v>
      </c>
      <c r="U34">
        <v>4</v>
      </c>
      <c r="V34">
        <f>COUNTIF(Modelos[Modelo Base], Modelos_Base[[#This Row],[MODELO_DESC]])</f>
        <v>1</v>
      </c>
      <c r="X34" t="s">
        <v>271</v>
      </c>
      <c r="Y34" t="s">
        <v>272</v>
      </c>
    </row>
    <row r="35" spans="1:25" x14ac:dyDescent="0.25">
      <c r="A35" s="3" t="s">
        <v>3</v>
      </c>
      <c r="B35" t="s">
        <v>71</v>
      </c>
      <c r="C35" t="s">
        <v>58</v>
      </c>
      <c r="D35" s="1" t="s">
        <v>16</v>
      </c>
      <c r="E35" s="1"/>
      <c r="F35" s="1"/>
      <c r="G35" s="1"/>
      <c r="H35" s="1"/>
      <c r="I35" s="1"/>
      <c r="J35" s="1"/>
      <c r="K35" s="1"/>
      <c r="L35" s="1"/>
      <c r="M35" s="1"/>
      <c r="N35" s="2" t="s">
        <v>42</v>
      </c>
      <c r="O35" t="s">
        <v>35</v>
      </c>
      <c r="S35" t="s">
        <v>42</v>
      </c>
      <c r="T35" t="s">
        <v>108</v>
      </c>
      <c r="U35">
        <v>1</v>
      </c>
      <c r="V35">
        <f>COUNTIF(Modelos[Modelo Base], Modelos_Base[[#This Row],[MODELO_DESC]])</f>
        <v>1</v>
      </c>
      <c r="X35" t="s">
        <v>271</v>
      </c>
      <c r="Y35" t="s">
        <v>273</v>
      </c>
    </row>
    <row r="36" spans="1:25" x14ac:dyDescent="0.25">
      <c r="A36" s="3" t="s">
        <v>3</v>
      </c>
      <c r="B36" t="s">
        <v>73</v>
      </c>
      <c r="C36" t="s">
        <v>58</v>
      </c>
      <c r="D36" s="1" t="s">
        <v>16</v>
      </c>
      <c r="E36" s="1"/>
      <c r="F36" s="1"/>
      <c r="G36" s="1"/>
      <c r="H36" s="1"/>
      <c r="I36" s="1"/>
      <c r="J36" s="1"/>
      <c r="K36" s="1"/>
      <c r="L36" s="1"/>
      <c r="M36" s="1"/>
      <c r="N36" s="2" t="s">
        <v>42</v>
      </c>
      <c r="O36" t="s">
        <v>35</v>
      </c>
      <c r="S36" t="s">
        <v>42</v>
      </c>
      <c r="T36" t="s">
        <v>109</v>
      </c>
      <c r="U36">
        <v>15</v>
      </c>
      <c r="V36">
        <f>COUNTIF(Modelos[Modelo Base], Modelos_Base[[#This Row],[MODELO_DESC]])</f>
        <v>1</v>
      </c>
      <c r="X36" t="s">
        <v>271</v>
      </c>
      <c r="Y36" t="s">
        <v>274</v>
      </c>
    </row>
    <row r="37" spans="1:25" x14ac:dyDescent="0.25">
      <c r="A37" s="3" t="s">
        <v>3</v>
      </c>
      <c r="B37" t="s">
        <v>229</v>
      </c>
      <c r="C37" t="s">
        <v>58</v>
      </c>
      <c r="D37" s="1" t="s">
        <v>16</v>
      </c>
      <c r="E37" s="1"/>
      <c r="F37" s="1"/>
      <c r="G37" s="1"/>
      <c r="H37" s="1"/>
      <c r="I37" s="1"/>
      <c r="J37" s="1"/>
      <c r="K37" s="1"/>
      <c r="L37" s="1"/>
      <c r="M37" s="1"/>
      <c r="N37" s="2" t="s">
        <v>42</v>
      </c>
      <c r="O37" t="s">
        <v>35</v>
      </c>
      <c r="S37" t="s">
        <v>42</v>
      </c>
      <c r="T37" t="s">
        <v>111</v>
      </c>
      <c r="U37">
        <v>3</v>
      </c>
      <c r="V37">
        <f>COUNTIF(Modelos[Modelo Base], Modelos_Base[[#This Row],[MODELO_DESC]])</f>
        <v>1</v>
      </c>
      <c r="X37" t="s">
        <v>271</v>
      </c>
      <c r="Y37" t="s">
        <v>280</v>
      </c>
    </row>
    <row r="38" spans="1:25" x14ac:dyDescent="0.25">
      <c r="A38" s="3" t="s">
        <v>3</v>
      </c>
      <c r="B38" t="s">
        <v>76</v>
      </c>
      <c r="C38" t="s">
        <v>58</v>
      </c>
      <c r="D38" s="1" t="s">
        <v>16</v>
      </c>
      <c r="E38" s="1"/>
      <c r="F38" s="1"/>
      <c r="G38" s="1"/>
      <c r="H38" s="1"/>
      <c r="I38" s="1"/>
      <c r="J38" s="1"/>
      <c r="K38" s="1"/>
      <c r="L38" s="1"/>
      <c r="M38" s="1"/>
      <c r="N38" s="2" t="s">
        <v>42</v>
      </c>
      <c r="O38" t="s">
        <v>35</v>
      </c>
      <c r="S38" t="s">
        <v>42</v>
      </c>
      <c r="T38" t="s">
        <v>112</v>
      </c>
      <c r="U38">
        <v>54</v>
      </c>
      <c r="V38">
        <f>COUNTIF(Modelos[Modelo Base], Modelos_Base[[#This Row],[MODELO_DESC]])</f>
        <v>1</v>
      </c>
      <c r="X38" t="s">
        <v>261</v>
      </c>
      <c r="Y38" t="s">
        <v>262</v>
      </c>
    </row>
    <row r="39" spans="1:25" x14ac:dyDescent="0.25">
      <c r="A39" s="3" t="s">
        <v>3</v>
      </c>
      <c r="B39" t="s">
        <v>77</v>
      </c>
      <c r="C39" t="s">
        <v>78</v>
      </c>
      <c r="D39" s="1" t="s">
        <v>16</v>
      </c>
      <c r="E39" s="1"/>
      <c r="F39" s="1"/>
      <c r="G39" s="1"/>
      <c r="H39" s="1"/>
      <c r="I39" s="1"/>
      <c r="J39" s="1"/>
      <c r="K39" s="1"/>
      <c r="L39" s="1"/>
      <c r="M39" s="1"/>
      <c r="N39" s="2" t="s">
        <v>42</v>
      </c>
      <c r="O39" t="s">
        <v>35</v>
      </c>
      <c r="S39" t="s">
        <v>42</v>
      </c>
      <c r="T39" t="s">
        <v>113</v>
      </c>
      <c r="U39">
        <v>1</v>
      </c>
      <c r="V39">
        <f>COUNTIF(Modelos[Modelo Base], Modelos_Base[[#This Row],[MODELO_DESC]])</f>
        <v>1</v>
      </c>
      <c r="X39" t="s">
        <v>261</v>
      </c>
      <c r="Y39" t="s">
        <v>278</v>
      </c>
    </row>
    <row r="40" spans="1:25" x14ac:dyDescent="0.25">
      <c r="A40" s="3" t="s">
        <v>3</v>
      </c>
      <c r="B40" t="s">
        <v>79</v>
      </c>
      <c r="C40" t="s">
        <v>78</v>
      </c>
      <c r="D40" s="1" t="s">
        <v>16</v>
      </c>
      <c r="E40" s="1"/>
      <c r="F40" s="1"/>
      <c r="G40" s="1"/>
      <c r="H40" s="1"/>
      <c r="I40" s="1"/>
      <c r="J40" s="1"/>
      <c r="K40" s="1"/>
      <c r="L40" s="1"/>
      <c r="M40" s="1"/>
      <c r="N40" s="2" t="s">
        <v>42</v>
      </c>
      <c r="O40" t="s">
        <v>35</v>
      </c>
      <c r="S40" t="s">
        <v>42</v>
      </c>
      <c r="T40" t="s">
        <v>114</v>
      </c>
      <c r="U40">
        <v>6</v>
      </c>
      <c r="V40">
        <f>COUNTIF(Modelos[Modelo Base], Modelos_Base[[#This Row],[MODELO_DESC]])</f>
        <v>1</v>
      </c>
      <c r="X40" t="s">
        <v>261</v>
      </c>
      <c r="Y40" t="s">
        <v>282</v>
      </c>
    </row>
    <row r="41" spans="1:25" x14ac:dyDescent="0.25">
      <c r="A41" s="3" t="s">
        <v>3</v>
      </c>
      <c r="B41" t="s">
        <v>80</v>
      </c>
      <c r="C41" t="s">
        <v>78</v>
      </c>
      <c r="D41" s="1" t="s">
        <v>16</v>
      </c>
      <c r="E41" s="1"/>
      <c r="F41" s="1"/>
      <c r="G41" s="1"/>
      <c r="H41" s="1"/>
      <c r="I41" s="1"/>
      <c r="J41" s="1"/>
      <c r="K41" s="1"/>
      <c r="L41" s="1"/>
      <c r="M41" s="1"/>
      <c r="N41" s="2" t="s">
        <v>42</v>
      </c>
      <c r="O41" t="s">
        <v>35</v>
      </c>
      <c r="S41" t="s">
        <v>42</v>
      </c>
      <c r="T41" t="s">
        <v>115</v>
      </c>
      <c r="U41">
        <v>16</v>
      </c>
      <c r="V41">
        <f>COUNTIF(Modelos[Modelo Base], Modelos_Base[[#This Row],[MODELO_DESC]])</f>
        <v>1</v>
      </c>
      <c r="X41" t="s">
        <v>264</v>
      </c>
      <c r="Y41" t="s">
        <v>265</v>
      </c>
    </row>
    <row r="42" spans="1:25" x14ac:dyDescent="0.25">
      <c r="A42" s="3" t="s">
        <v>3</v>
      </c>
      <c r="B42" t="s">
        <v>81</v>
      </c>
      <c r="C42" t="s">
        <v>78</v>
      </c>
      <c r="D42" s="1" t="s">
        <v>16</v>
      </c>
      <c r="E42" s="1"/>
      <c r="F42" s="1"/>
      <c r="G42" s="1"/>
      <c r="H42" s="1"/>
      <c r="I42" s="1"/>
      <c r="J42" s="1"/>
      <c r="K42" s="1"/>
      <c r="L42" s="1"/>
      <c r="M42" s="1"/>
      <c r="N42" s="2" t="s">
        <v>42</v>
      </c>
      <c r="O42" t="s">
        <v>35</v>
      </c>
      <c r="S42" t="s">
        <v>42</v>
      </c>
      <c r="T42" t="s">
        <v>116</v>
      </c>
      <c r="U42">
        <v>12</v>
      </c>
      <c r="V42">
        <f>COUNTIF(Modelos[Modelo Base], Modelos_Base[[#This Row],[MODELO_DESC]])</f>
        <v>1</v>
      </c>
      <c r="X42" t="s">
        <v>264</v>
      </c>
      <c r="Y42" t="s">
        <v>266</v>
      </c>
    </row>
    <row r="43" spans="1:25" x14ac:dyDescent="0.25">
      <c r="A43" s="3" t="s">
        <v>3</v>
      </c>
      <c r="B43" t="s">
        <v>82</v>
      </c>
      <c r="C43" t="s">
        <v>78</v>
      </c>
      <c r="D43" s="1" t="s">
        <v>16</v>
      </c>
      <c r="E43" s="1"/>
      <c r="F43" s="1"/>
      <c r="G43" s="1"/>
      <c r="H43" s="1"/>
      <c r="I43" s="1"/>
      <c r="J43" s="1"/>
      <c r="K43" s="1"/>
      <c r="L43" s="1"/>
      <c r="M43" s="1"/>
      <c r="N43" s="2" t="s">
        <v>42</v>
      </c>
      <c r="O43" t="s">
        <v>35</v>
      </c>
      <c r="S43" t="s">
        <v>42</v>
      </c>
      <c r="T43" t="s">
        <v>117</v>
      </c>
      <c r="U43">
        <v>1</v>
      </c>
      <c r="V43">
        <f>COUNTIF(Modelos[Modelo Base], Modelos_Base[[#This Row],[MODELO_DESC]])</f>
        <v>1</v>
      </c>
      <c r="X43" t="s">
        <v>264</v>
      </c>
      <c r="Y43" t="s">
        <v>269</v>
      </c>
    </row>
    <row r="44" spans="1:25" x14ac:dyDescent="0.25">
      <c r="A44" s="3" t="s">
        <v>3</v>
      </c>
      <c r="B44" t="s">
        <v>83</v>
      </c>
      <c r="C44" t="s">
        <v>78</v>
      </c>
      <c r="D44" s="1" t="s">
        <v>16</v>
      </c>
      <c r="E44" s="1"/>
      <c r="F44" s="1"/>
      <c r="G44" s="1"/>
      <c r="H44" s="1"/>
      <c r="I44" s="1"/>
      <c r="J44" s="1"/>
      <c r="K44" s="1"/>
      <c r="L44" s="1"/>
      <c r="M44" s="1"/>
      <c r="N44" s="2" t="s">
        <v>42</v>
      </c>
      <c r="O44" t="s">
        <v>35</v>
      </c>
      <c r="S44" t="s">
        <v>42</v>
      </c>
      <c r="T44" t="s">
        <v>118</v>
      </c>
      <c r="U44">
        <v>1</v>
      </c>
      <c r="V44">
        <f>COUNTIF(Modelos[Modelo Base], Modelos_Base[[#This Row],[MODELO_DESC]])</f>
        <v>1</v>
      </c>
      <c r="X44" t="s">
        <v>264</v>
      </c>
      <c r="Y44" t="s">
        <v>270</v>
      </c>
    </row>
    <row r="45" spans="1:25" x14ac:dyDescent="0.25">
      <c r="A45" s="3" t="s">
        <v>3</v>
      </c>
      <c r="B45" t="s">
        <v>84</v>
      </c>
      <c r="C45" t="s">
        <v>78</v>
      </c>
      <c r="D45" s="1" t="s">
        <v>16</v>
      </c>
      <c r="E45" s="1"/>
      <c r="F45" s="1"/>
      <c r="G45" s="1"/>
      <c r="H45" s="1"/>
      <c r="I45" s="1"/>
      <c r="J45" s="1"/>
      <c r="K45" s="1"/>
      <c r="L45" s="1"/>
      <c r="M45" s="1"/>
      <c r="N45" s="2" t="s">
        <v>42</v>
      </c>
      <c r="O45" t="s">
        <v>35</v>
      </c>
      <c r="S45" t="s">
        <v>99</v>
      </c>
      <c r="T45" t="s">
        <v>120</v>
      </c>
      <c r="U45">
        <v>42</v>
      </c>
      <c r="V45">
        <f>COUNTIF(Modelos[Modelo Base], Modelos_Base[[#This Row],[MODELO_DESC]])</f>
        <v>1</v>
      </c>
      <c r="X45" t="s">
        <v>228</v>
      </c>
      <c r="Y45" t="s">
        <v>35</v>
      </c>
    </row>
    <row r="46" spans="1:25" x14ac:dyDescent="0.25">
      <c r="A46" s="3" t="s">
        <v>3</v>
      </c>
      <c r="B46" t="s">
        <v>85</v>
      </c>
      <c r="C46" t="s">
        <v>78</v>
      </c>
      <c r="D46" s="1" t="s">
        <v>16</v>
      </c>
      <c r="E46" s="1"/>
      <c r="F46" s="1"/>
      <c r="G46" s="1"/>
      <c r="H46" s="1"/>
      <c r="I46" s="1"/>
      <c r="J46" s="1"/>
      <c r="K46" s="1"/>
      <c r="L46" s="1"/>
      <c r="M46" s="1"/>
      <c r="N46" s="2" t="s">
        <v>42</v>
      </c>
      <c r="O46" t="s">
        <v>35</v>
      </c>
      <c r="S46" t="s">
        <v>99</v>
      </c>
      <c r="T46" t="s">
        <v>121</v>
      </c>
      <c r="U46">
        <v>1</v>
      </c>
      <c r="V46">
        <f>COUNTIF(Modelos[Modelo Base], Modelos_Base[[#This Row],[MODELO_DESC]])</f>
        <v>1</v>
      </c>
      <c r="X46" t="s">
        <v>228</v>
      </c>
      <c r="Y46" t="s">
        <v>263</v>
      </c>
    </row>
    <row r="47" spans="1:25" x14ac:dyDescent="0.25">
      <c r="A47" s="3" t="s">
        <v>3</v>
      </c>
      <c r="B47" t="s">
        <v>86</v>
      </c>
      <c r="C47" t="s">
        <v>78</v>
      </c>
      <c r="D47" s="1" t="s">
        <v>16</v>
      </c>
      <c r="E47" s="1"/>
      <c r="F47" s="1"/>
      <c r="G47" s="1"/>
      <c r="H47" s="1"/>
      <c r="I47" s="1"/>
      <c r="J47" s="1"/>
      <c r="K47" s="1"/>
      <c r="L47" s="1"/>
      <c r="M47" s="1"/>
      <c r="N47" s="2" t="s">
        <v>42</v>
      </c>
      <c r="O47" t="s">
        <v>35</v>
      </c>
      <c r="S47" t="s">
        <v>99</v>
      </c>
      <c r="T47" t="s">
        <v>123</v>
      </c>
      <c r="U47">
        <v>1</v>
      </c>
      <c r="V47">
        <f>COUNTIF(Modelos[Modelo Base], Modelos_Base[[#This Row],[MODELO_DESC]])</f>
        <v>1</v>
      </c>
      <c r="X47" t="s">
        <v>228</v>
      </c>
      <c r="Y47" t="s">
        <v>277</v>
      </c>
    </row>
    <row r="48" spans="1:25" x14ac:dyDescent="0.25">
      <c r="A48" s="3" t="s">
        <v>3</v>
      </c>
      <c r="B48" t="s">
        <v>88</v>
      </c>
      <c r="C48" t="s">
        <v>89</v>
      </c>
      <c r="D48" s="1" t="s">
        <v>16</v>
      </c>
      <c r="E48" s="1"/>
      <c r="F48" s="1"/>
      <c r="G48" s="1"/>
      <c r="H48" s="1"/>
      <c r="I48" s="1"/>
      <c r="J48" s="1"/>
      <c r="K48" s="1"/>
      <c r="L48" s="1"/>
      <c r="M48" s="1"/>
      <c r="N48" s="2" t="s">
        <v>42</v>
      </c>
      <c r="O48" t="s">
        <v>35</v>
      </c>
      <c r="S48" t="s">
        <v>99</v>
      </c>
      <c r="T48" t="s">
        <v>124</v>
      </c>
      <c r="U48">
        <v>3</v>
      </c>
      <c r="V48">
        <f>COUNTIF(Modelos[Modelo Base], Modelos_Base[[#This Row],[MODELO_DESC]])</f>
        <v>1</v>
      </c>
      <c r="X48" t="s">
        <v>228</v>
      </c>
      <c r="Y48" t="s">
        <v>281</v>
      </c>
    </row>
    <row r="49" spans="1:25" x14ac:dyDescent="0.25">
      <c r="A49" s="3" t="s">
        <v>3</v>
      </c>
      <c r="B49" t="s">
        <v>90</v>
      </c>
      <c r="C49" t="s">
        <v>89</v>
      </c>
      <c r="D49" s="1" t="s">
        <v>16</v>
      </c>
      <c r="E49" s="1"/>
      <c r="F49" s="1"/>
      <c r="G49" s="1"/>
      <c r="H49" s="1"/>
      <c r="I49" s="1"/>
      <c r="J49" s="1"/>
      <c r="K49" s="1"/>
      <c r="L49" s="1"/>
      <c r="M49" s="1"/>
      <c r="N49" s="2" t="s">
        <v>42</v>
      </c>
      <c r="O49" t="s">
        <v>35</v>
      </c>
      <c r="S49" t="s">
        <v>99</v>
      </c>
      <c r="T49" t="s">
        <v>125</v>
      </c>
      <c r="U49">
        <v>2</v>
      </c>
      <c r="V49">
        <f>COUNTIF(Modelos[Modelo Base], Modelos_Base[[#This Row],[MODELO_DESC]])</f>
        <v>1</v>
      </c>
      <c r="X49" t="s">
        <v>267</v>
      </c>
      <c r="Y49" t="s">
        <v>268</v>
      </c>
    </row>
    <row r="50" spans="1:25" x14ac:dyDescent="0.25">
      <c r="A50" s="3" t="s">
        <v>3</v>
      </c>
      <c r="B50" t="s">
        <v>91</v>
      </c>
      <c r="C50" t="s">
        <v>92</v>
      </c>
      <c r="D50" s="1" t="s">
        <v>16</v>
      </c>
      <c r="E50" s="1"/>
      <c r="F50" s="1"/>
      <c r="G50" s="1"/>
      <c r="H50" s="1"/>
      <c r="I50" s="1"/>
      <c r="J50" s="1"/>
      <c r="K50" s="1"/>
      <c r="L50" s="1"/>
      <c r="M50" s="1"/>
      <c r="N50" s="2" t="s">
        <v>42</v>
      </c>
      <c r="O50" t="s">
        <v>35</v>
      </c>
      <c r="S50" t="s">
        <v>99</v>
      </c>
      <c r="T50" t="s">
        <v>127</v>
      </c>
      <c r="U50">
        <v>6</v>
      </c>
      <c r="V50">
        <f>COUNTIF(Modelos[Modelo Base], Modelos_Base[[#This Row],[MODELO_DESC]])</f>
        <v>1</v>
      </c>
    </row>
    <row r="51" spans="1:25" x14ac:dyDescent="0.25">
      <c r="A51" s="3" t="s">
        <v>3</v>
      </c>
      <c r="B51" t="s">
        <v>93</v>
      </c>
      <c r="C51" t="s">
        <v>89</v>
      </c>
      <c r="D51" s="1" t="s">
        <v>16</v>
      </c>
      <c r="E51" s="1"/>
      <c r="F51" s="1"/>
      <c r="G51" s="1"/>
      <c r="H51" s="1"/>
      <c r="I51" s="1"/>
      <c r="J51" s="1"/>
      <c r="K51" s="1"/>
      <c r="L51" s="1"/>
      <c r="M51" s="1"/>
      <c r="N51" s="2" t="s">
        <v>42</v>
      </c>
      <c r="O51" t="s">
        <v>35</v>
      </c>
      <c r="S51" t="s">
        <v>99</v>
      </c>
      <c r="T51" t="s">
        <v>133</v>
      </c>
      <c r="U51">
        <v>3</v>
      </c>
      <c r="V51">
        <f>COUNTIF(Modelos[Modelo Base], Modelos_Base[[#This Row],[MODELO_DESC]])</f>
        <v>1</v>
      </c>
    </row>
    <row r="52" spans="1:25" x14ac:dyDescent="0.25">
      <c r="A52" s="3" t="s">
        <v>3</v>
      </c>
      <c r="B52" t="s">
        <v>94</v>
      </c>
      <c r="C52" t="s">
        <v>89</v>
      </c>
      <c r="D52" s="1" t="s">
        <v>16</v>
      </c>
      <c r="E52" s="1"/>
      <c r="F52" s="1"/>
      <c r="G52" s="1"/>
      <c r="H52" s="1"/>
      <c r="I52" s="1"/>
      <c r="J52" s="1"/>
      <c r="K52" s="1"/>
      <c r="L52" s="1"/>
      <c r="M52" s="1"/>
      <c r="N52" s="2" t="s">
        <v>42</v>
      </c>
      <c r="O52" t="s">
        <v>35</v>
      </c>
      <c r="S52" t="s">
        <v>99</v>
      </c>
      <c r="T52" t="s">
        <v>135</v>
      </c>
      <c r="U52">
        <v>11</v>
      </c>
      <c r="V52">
        <f>COUNTIF(Modelos[Modelo Base], Modelos_Base[[#This Row],[MODELO_DESC]])</f>
        <v>1</v>
      </c>
    </row>
    <row r="53" spans="1:25" x14ac:dyDescent="0.25">
      <c r="A53" s="3" t="s">
        <v>3</v>
      </c>
      <c r="B53" t="s">
        <v>95</v>
      </c>
      <c r="C53" t="s">
        <v>96</v>
      </c>
      <c r="D53" s="1" t="s">
        <v>16</v>
      </c>
      <c r="E53" s="1"/>
      <c r="F53" s="1"/>
      <c r="G53" s="1"/>
      <c r="H53" s="1"/>
      <c r="I53" s="1"/>
      <c r="J53" s="1"/>
      <c r="K53" s="1"/>
      <c r="L53" s="1"/>
      <c r="M53" s="1"/>
      <c r="N53" s="2" t="s">
        <v>42</v>
      </c>
      <c r="O53" t="s">
        <v>35</v>
      </c>
      <c r="S53" t="s">
        <v>99</v>
      </c>
      <c r="T53" t="s">
        <v>137</v>
      </c>
      <c r="U53">
        <v>15</v>
      </c>
      <c r="V53">
        <f>COUNTIF(Modelos[Modelo Base], Modelos_Base[[#This Row],[MODELO_DESC]])</f>
        <v>1</v>
      </c>
    </row>
    <row r="54" spans="1:25" x14ac:dyDescent="0.25">
      <c r="A54" s="3" t="s">
        <v>3</v>
      </c>
      <c r="B54" t="s">
        <v>97</v>
      </c>
      <c r="C54" t="s">
        <v>96</v>
      </c>
      <c r="D54" s="1" t="s">
        <v>16</v>
      </c>
      <c r="E54" s="1"/>
      <c r="F54" s="1"/>
      <c r="G54" s="1"/>
      <c r="H54" s="1"/>
      <c r="I54" s="1"/>
      <c r="J54" s="1"/>
      <c r="K54" s="1"/>
      <c r="L54" s="1"/>
      <c r="M54" s="1"/>
      <c r="N54" s="2" t="s">
        <v>42</v>
      </c>
      <c r="O54" t="s">
        <v>35</v>
      </c>
      <c r="S54" t="s">
        <v>99</v>
      </c>
      <c r="T54" t="s">
        <v>139</v>
      </c>
      <c r="U54">
        <v>5</v>
      </c>
      <c r="V54">
        <f>COUNTIF(Modelos[Modelo Base], Modelos_Base[[#This Row],[MODELO_DESC]])</f>
        <v>1</v>
      </c>
    </row>
    <row r="55" spans="1:25" x14ac:dyDescent="0.25">
      <c r="A55" s="3" t="s">
        <v>3</v>
      </c>
      <c r="B55" t="s">
        <v>101</v>
      </c>
      <c r="C55" t="s">
        <v>96</v>
      </c>
      <c r="D55" s="1" t="s">
        <v>16</v>
      </c>
      <c r="E55" s="1"/>
      <c r="F55" s="1"/>
      <c r="G55" s="1"/>
      <c r="H55" s="1"/>
      <c r="I55" s="1"/>
      <c r="J55" s="1"/>
      <c r="K55" s="1"/>
      <c r="L55" s="1"/>
      <c r="M55" s="1"/>
      <c r="N55" s="2" t="s">
        <v>42</v>
      </c>
      <c r="O55" t="s">
        <v>35</v>
      </c>
      <c r="S55" t="s">
        <v>99</v>
      </c>
      <c r="T55" t="s">
        <v>141</v>
      </c>
      <c r="U55">
        <v>2</v>
      </c>
      <c r="V55">
        <f>COUNTIF(Modelos[Modelo Base], Modelos_Base[[#This Row],[MODELO_DESC]])</f>
        <v>1</v>
      </c>
    </row>
    <row r="56" spans="1:25" x14ac:dyDescent="0.25">
      <c r="A56" s="3" t="s">
        <v>3</v>
      </c>
      <c r="B56" t="s">
        <v>102</v>
      </c>
      <c r="C56" t="s">
        <v>96</v>
      </c>
      <c r="D56" s="1" t="s">
        <v>16</v>
      </c>
      <c r="E56" s="1"/>
      <c r="F56" s="1"/>
      <c r="G56" s="1"/>
      <c r="H56" s="1"/>
      <c r="I56" s="1"/>
      <c r="J56" s="1"/>
      <c r="K56" s="1"/>
      <c r="L56" s="1"/>
      <c r="M56" s="1"/>
      <c r="N56" s="2" t="s">
        <v>42</v>
      </c>
      <c r="O56" t="s">
        <v>35</v>
      </c>
      <c r="S56" t="s">
        <v>99</v>
      </c>
      <c r="T56" t="s">
        <v>143</v>
      </c>
      <c r="U56">
        <v>1</v>
      </c>
      <c r="V56">
        <f>COUNTIF(Modelos[Modelo Base], Modelos_Base[[#This Row],[MODELO_DESC]])</f>
        <v>1</v>
      </c>
    </row>
    <row r="57" spans="1:25" x14ac:dyDescent="0.25">
      <c r="A57" s="3" t="s">
        <v>3</v>
      </c>
      <c r="B57" t="s">
        <v>103</v>
      </c>
      <c r="C57" t="s">
        <v>96</v>
      </c>
      <c r="D57" s="1" t="s">
        <v>16</v>
      </c>
      <c r="E57" s="1"/>
      <c r="F57" s="1"/>
      <c r="G57" s="1"/>
      <c r="H57" s="1"/>
      <c r="I57" s="1"/>
      <c r="J57" s="1"/>
      <c r="K57" s="1"/>
      <c r="L57" s="1"/>
      <c r="M57" s="1"/>
      <c r="N57" s="2" t="s">
        <v>42</v>
      </c>
      <c r="O57" t="s">
        <v>35</v>
      </c>
      <c r="S57" t="s">
        <v>99</v>
      </c>
      <c r="T57" t="s">
        <v>145</v>
      </c>
      <c r="U57">
        <v>5</v>
      </c>
      <c r="V57">
        <f>COUNTIF(Modelos[Modelo Base], Modelos_Base[[#This Row],[MODELO_DESC]])</f>
        <v>1</v>
      </c>
    </row>
    <row r="58" spans="1:25" x14ac:dyDescent="0.25">
      <c r="A58" s="3" t="s">
        <v>3</v>
      </c>
      <c r="B58" t="s">
        <v>104</v>
      </c>
      <c r="C58" t="s">
        <v>105</v>
      </c>
      <c r="D58" s="1" t="s">
        <v>16</v>
      </c>
      <c r="E58" s="1"/>
      <c r="F58" s="1"/>
      <c r="G58" s="1"/>
      <c r="H58" s="1"/>
      <c r="I58" s="1"/>
      <c r="J58" s="1"/>
      <c r="K58" s="1"/>
      <c r="L58" s="1"/>
      <c r="M58" s="1"/>
      <c r="N58" s="2" t="s">
        <v>42</v>
      </c>
      <c r="O58" t="s">
        <v>35</v>
      </c>
      <c r="S58" t="s">
        <v>99</v>
      </c>
      <c r="T58" t="s">
        <v>147</v>
      </c>
      <c r="U58">
        <v>2</v>
      </c>
      <c r="V58">
        <f>COUNTIF(Modelos[Modelo Base], Modelos_Base[[#This Row],[MODELO_DESC]])</f>
        <v>1</v>
      </c>
    </row>
    <row r="59" spans="1:25" x14ac:dyDescent="0.25">
      <c r="A59" s="3" t="s">
        <v>3</v>
      </c>
      <c r="B59" t="s">
        <v>106</v>
      </c>
      <c r="C59" t="s">
        <v>105</v>
      </c>
      <c r="D59" s="1" t="s">
        <v>16</v>
      </c>
      <c r="E59" s="1"/>
      <c r="F59" s="1"/>
      <c r="G59" s="1"/>
      <c r="H59" s="1"/>
      <c r="I59" s="1"/>
      <c r="J59" s="1"/>
      <c r="K59" s="1"/>
      <c r="L59" s="1"/>
      <c r="M59" s="1"/>
      <c r="N59" s="2" t="s">
        <v>42</v>
      </c>
      <c r="O59" t="s">
        <v>35</v>
      </c>
      <c r="S59" t="s">
        <v>99</v>
      </c>
      <c r="T59" t="s">
        <v>149</v>
      </c>
      <c r="U59">
        <v>1</v>
      </c>
      <c r="V59">
        <f>COUNTIF(Modelos[Modelo Base], Modelos_Base[[#This Row],[MODELO_DESC]])</f>
        <v>1</v>
      </c>
    </row>
    <row r="60" spans="1:25" x14ac:dyDescent="0.25">
      <c r="A60" s="3" t="s">
        <v>3</v>
      </c>
      <c r="B60" t="s">
        <v>107</v>
      </c>
      <c r="C60" t="s">
        <v>105</v>
      </c>
      <c r="D60" s="1" t="s">
        <v>16</v>
      </c>
      <c r="E60" s="1"/>
      <c r="F60" s="1"/>
      <c r="G60" s="1"/>
      <c r="H60" s="1"/>
      <c r="I60" s="1"/>
      <c r="J60" s="1"/>
      <c r="K60" s="1"/>
      <c r="L60" s="1"/>
      <c r="M60" s="1"/>
      <c r="N60" s="2" t="s">
        <v>42</v>
      </c>
      <c r="O60" t="s">
        <v>35</v>
      </c>
      <c r="S60" t="s">
        <v>42</v>
      </c>
      <c r="T60" t="s">
        <v>126</v>
      </c>
      <c r="U60">
        <v>1</v>
      </c>
      <c r="V60">
        <f>COUNTIF(Modelos[Modelo Base], Modelos_Base[[#This Row],[MODELO_DESC]])</f>
        <v>1</v>
      </c>
    </row>
    <row r="61" spans="1:25" x14ac:dyDescent="0.25">
      <c r="A61" s="3" t="s">
        <v>3</v>
      </c>
      <c r="B61" t="s">
        <v>108</v>
      </c>
      <c r="C61" t="s">
        <v>105</v>
      </c>
      <c r="D61" s="1" t="s">
        <v>16</v>
      </c>
      <c r="E61" s="1"/>
      <c r="F61" s="1"/>
      <c r="G61" s="1"/>
      <c r="H61" s="1"/>
      <c r="I61" s="1"/>
      <c r="J61" s="1"/>
      <c r="K61" s="1"/>
      <c r="L61" s="1"/>
      <c r="M61" s="1"/>
      <c r="N61" s="2" t="s">
        <v>42</v>
      </c>
      <c r="O61" t="s">
        <v>35</v>
      </c>
      <c r="S61" t="s">
        <v>42</v>
      </c>
      <c r="T61" t="s">
        <v>128</v>
      </c>
      <c r="U61">
        <v>2</v>
      </c>
      <c r="V61">
        <f>COUNTIF(Modelos[Modelo Base], Modelos_Base[[#This Row],[MODELO_DESC]])</f>
        <v>1</v>
      </c>
    </row>
    <row r="62" spans="1:25" x14ac:dyDescent="0.25">
      <c r="A62" s="3" t="s">
        <v>3</v>
      </c>
      <c r="B62" t="s">
        <v>109</v>
      </c>
      <c r="C62" t="s">
        <v>105</v>
      </c>
      <c r="D62" s="1" t="s">
        <v>16</v>
      </c>
      <c r="E62" s="1"/>
      <c r="F62" s="1"/>
      <c r="G62" s="1"/>
      <c r="H62" s="1"/>
      <c r="I62" s="1"/>
      <c r="J62" s="1"/>
      <c r="K62" s="1"/>
      <c r="L62" s="1"/>
      <c r="M62" s="1"/>
      <c r="N62" s="2" t="s">
        <v>42</v>
      </c>
      <c r="O62" t="s">
        <v>35</v>
      </c>
      <c r="S62" t="s">
        <v>42</v>
      </c>
      <c r="T62" t="s">
        <v>130</v>
      </c>
      <c r="U62">
        <v>2</v>
      </c>
      <c r="V62">
        <f>COUNTIF(Modelos[Modelo Base], Modelos_Base[[#This Row],[MODELO_DESC]])</f>
        <v>1</v>
      </c>
    </row>
    <row r="63" spans="1:25" x14ac:dyDescent="0.25">
      <c r="A63" s="3" t="s">
        <v>3</v>
      </c>
      <c r="B63" t="s">
        <v>110</v>
      </c>
      <c r="C63" t="s">
        <v>105</v>
      </c>
      <c r="D63" s="1" t="s">
        <v>16</v>
      </c>
      <c r="E63" s="1"/>
      <c r="F63" s="1"/>
      <c r="G63" s="1"/>
      <c r="H63" s="1"/>
      <c r="I63" s="1"/>
      <c r="J63" s="1"/>
      <c r="K63" s="1"/>
      <c r="L63" s="1"/>
      <c r="M63" s="1"/>
      <c r="N63" s="2" t="s">
        <v>42</v>
      </c>
      <c r="O63" t="s">
        <v>35</v>
      </c>
      <c r="S63" t="s">
        <v>42</v>
      </c>
      <c r="T63" t="s">
        <v>132</v>
      </c>
      <c r="U63">
        <v>12</v>
      </c>
      <c r="V63">
        <f>COUNTIF(Modelos[Modelo Base], Modelos_Base[[#This Row],[MODELO_DESC]])</f>
        <v>1</v>
      </c>
    </row>
    <row r="64" spans="1:25" x14ac:dyDescent="0.25">
      <c r="A64" s="3" t="s">
        <v>3</v>
      </c>
      <c r="B64" t="s">
        <v>111</v>
      </c>
      <c r="C64" t="s">
        <v>105</v>
      </c>
      <c r="D64" s="1" t="s">
        <v>16</v>
      </c>
      <c r="E64" s="1"/>
      <c r="F64" s="1"/>
      <c r="G64" s="1"/>
      <c r="H64" s="1"/>
      <c r="I64" s="1"/>
      <c r="J64" s="1"/>
      <c r="K64" s="1"/>
      <c r="L64" s="1"/>
      <c r="M64" s="1"/>
      <c r="N64" s="2" t="s">
        <v>42</v>
      </c>
      <c r="O64" t="s">
        <v>35</v>
      </c>
      <c r="S64" t="s">
        <v>42</v>
      </c>
      <c r="T64" t="s">
        <v>136</v>
      </c>
      <c r="U64">
        <v>1</v>
      </c>
      <c r="V64">
        <f>COUNTIF(Modelos[Modelo Base], Modelos_Base[[#This Row],[MODELO_DESC]])</f>
        <v>1</v>
      </c>
    </row>
    <row r="65" spans="1:22" x14ac:dyDescent="0.25">
      <c r="A65" s="3" t="s">
        <v>3</v>
      </c>
      <c r="B65" t="s">
        <v>112</v>
      </c>
      <c r="C65" t="s">
        <v>105</v>
      </c>
      <c r="D65" s="1" t="s">
        <v>16</v>
      </c>
      <c r="E65" s="1"/>
      <c r="F65" s="1"/>
      <c r="G65" s="1"/>
      <c r="H65" s="1"/>
      <c r="I65" s="1"/>
      <c r="J65" s="1"/>
      <c r="K65" s="1"/>
      <c r="L65" s="1"/>
      <c r="M65" s="1"/>
      <c r="N65" s="2" t="s">
        <v>42</v>
      </c>
      <c r="O65" t="s">
        <v>35</v>
      </c>
      <c r="S65" t="s">
        <v>42</v>
      </c>
      <c r="T65" t="s">
        <v>138</v>
      </c>
      <c r="U65">
        <v>1</v>
      </c>
      <c r="V65">
        <f>COUNTIF(Modelos[Modelo Base], Modelos_Base[[#This Row],[MODELO_DESC]])</f>
        <v>1</v>
      </c>
    </row>
    <row r="66" spans="1:22" x14ac:dyDescent="0.25">
      <c r="A66" s="3" t="s">
        <v>3</v>
      </c>
      <c r="B66" t="s">
        <v>113</v>
      </c>
      <c r="C66" t="s">
        <v>105</v>
      </c>
      <c r="D66" s="1" t="s">
        <v>16</v>
      </c>
      <c r="E66" s="1"/>
      <c r="F66" s="1"/>
      <c r="G66" s="1"/>
      <c r="H66" s="1"/>
      <c r="I66" s="1"/>
      <c r="J66" s="1"/>
      <c r="K66" s="1"/>
      <c r="L66" s="1"/>
      <c r="M66" s="1"/>
      <c r="N66" s="2" t="s">
        <v>42</v>
      </c>
      <c r="O66" t="s">
        <v>35</v>
      </c>
      <c r="S66" t="s">
        <v>42</v>
      </c>
      <c r="T66" t="s">
        <v>142</v>
      </c>
      <c r="U66">
        <v>6</v>
      </c>
      <c r="V66">
        <f>COUNTIF(Modelos[Modelo Base], Modelos_Base[[#This Row],[MODELO_DESC]])</f>
        <v>1</v>
      </c>
    </row>
    <row r="67" spans="1:22" x14ac:dyDescent="0.25">
      <c r="A67" s="3" t="s">
        <v>3</v>
      </c>
      <c r="B67" t="s">
        <v>114</v>
      </c>
      <c r="C67" t="s">
        <v>105</v>
      </c>
      <c r="D67" s="1" t="s">
        <v>16</v>
      </c>
      <c r="E67" s="1"/>
      <c r="F67" s="1"/>
      <c r="G67" s="1"/>
      <c r="H67" s="1"/>
      <c r="I67" s="1"/>
      <c r="J67" s="1"/>
      <c r="K67" s="1"/>
      <c r="L67" s="1"/>
      <c r="M67" s="1"/>
      <c r="N67" s="2" t="s">
        <v>42</v>
      </c>
      <c r="O67" t="s">
        <v>35</v>
      </c>
      <c r="S67" t="s">
        <v>42</v>
      </c>
      <c r="T67" t="s">
        <v>144</v>
      </c>
      <c r="U67">
        <v>3</v>
      </c>
      <c r="V67">
        <f>COUNTIF(Modelos[Modelo Base], Modelos_Base[[#This Row],[MODELO_DESC]])</f>
        <v>1</v>
      </c>
    </row>
    <row r="68" spans="1:22" x14ac:dyDescent="0.25">
      <c r="A68" s="3" t="s">
        <v>3</v>
      </c>
      <c r="B68" t="s">
        <v>115</v>
      </c>
      <c r="C68" t="s">
        <v>105</v>
      </c>
      <c r="D68" s="1" t="s">
        <v>16</v>
      </c>
      <c r="E68" s="1"/>
      <c r="F68" s="1"/>
      <c r="G68" s="1"/>
      <c r="H68" s="1"/>
      <c r="I68" s="1"/>
      <c r="J68" s="1"/>
      <c r="K68" s="1"/>
      <c r="L68" s="1"/>
      <c r="M68" s="1"/>
      <c r="N68" s="2" t="s">
        <v>42</v>
      </c>
      <c r="O68" t="s">
        <v>35</v>
      </c>
      <c r="S68" t="s">
        <v>42</v>
      </c>
      <c r="T68" t="s">
        <v>146</v>
      </c>
      <c r="U68">
        <v>7</v>
      </c>
      <c r="V68">
        <f>COUNTIF(Modelos[Modelo Base], Modelos_Base[[#This Row],[MODELO_DESC]])</f>
        <v>1</v>
      </c>
    </row>
    <row r="69" spans="1:22" x14ac:dyDescent="0.25">
      <c r="A69" s="3" t="s">
        <v>3</v>
      </c>
      <c r="B69" t="s">
        <v>116</v>
      </c>
      <c r="C69" t="s">
        <v>105</v>
      </c>
      <c r="D69" s="1" t="s">
        <v>16</v>
      </c>
      <c r="E69" s="1"/>
      <c r="F69" s="1"/>
      <c r="G69" s="1"/>
      <c r="H69" s="1"/>
      <c r="I69" s="1"/>
      <c r="J69" s="1"/>
      <c r="K69" s="1"/>
      <c r="L69" s="1"/>
      <c r="M69" s="1"/>
      <c r="N69" s="2" t="s">
        <v>42</v>
      </c>
      <c r="O69" t="s">
        <v>35</v>
      </c>
      <c r="S69" t="s">
        <v>99</v>
      </c>
      <c r="T69" t="s">
        <v>154</v>
      </c>
      <c r="U69">
        <v>2</v>
      </c>
      <c r="V69">
        <f>COUNTIF(Modelos[Modelo Base], Modelos_Base[[#This Row],[MODELO_DESC]])</f>
        <v>1</v>
      </c>
    </row>
    <row r="70" spans="1:22" x14ac:dyDescent="0.25">
      <c r="A70" s="3" t="s">
        <v>3</v>
      </c>
      <c r="B70" t="s">
        <v>117</v>
      </c>
      <c r="C70" t="s">
        <v>105</v>
      </c>
      <c r="D70" s="1" t="s">
        <v>16</v>
      </c>
      <c r="E70" s="1"/>
      <c r="F70" s="1"/>
      <c r="G70" s="1"/>
      <c r="H70" s="1"/>
      <c r="I70" s="1"/>
      <c r="J70" s="1"/>
      <c r="K70" s="1"/>
      <c r="L70" s="1"/>
      <c r="M70" s="1"/>
      <c r="N70" s="2" t="s">
        <v>42</v>
      </c>
      <c r="O70" t="s">
        <v>35</v>
      </c>
      <c r="S70" t="s">
        <v>74</v>
      </c>
      <c r="T70" t="s">
        <v>75</v>
      </c>
      <c r="U70">
        <v>1</v>
      </c>
      <c r="V70">
        <f>COUNTIF(Modelos[Modelo Base], Modelos_Base[[#This Row],[MODELO_DESC]])</f>
        <v>1</v>
      </c>
    </row>
    <row r="71" spans="1:22" x14ac:dyDescent="0.25">
      <c r="A71" s="3" t="s">
        <v>3</v>
      </c>
      <c r="B71" t="s">
        <v>118</v>
      </c>
      <c r="C71" t="s">
        <v>105</v>
      </c>
      <c r="D71" s="1" t="s">
        <v>16</v>
      </c>
      <c r="E71" s="1"/>
      <c r="F71" s="1"/>
      <c r="G71" s="1"/>
      <c r="H71" s="1"/>
      <c r="I71" s="1"/>
      <c r="J71" s="1"/>
      <c r="K71" s="1"/>
      <c r="L71" s="1"/>
      <c r="M71" s="1"/>
      <c r="N71" s="2" t="s">
        <v>42</v>
      </c>
      <c r="O71" t="s">
        <v>35</v>
      </c>
      <c r="S71" t="s">
        <v>283</v>
      </c>
      <c r="T71" t="s">
        <v>173</v>
      </c>
      <c r="U71">
        <v>108</v>
      </c>
      <c r="V71">
        <f>COUNTIF(Modelos[Modelo Base], Modelos_Base[[#This Row],[MODELO_DESC]])</f>
        <v>1</v>
      </c>
    </row>
    <row r="72" spans="1:22" x14ac:dyDescent="0.25">
      <c r="A72" s="3" t="s">
        <v>3</v>
      </c>
      <c r="B72" t="s">
        <v>119</v>
      </c>
      <c r="C72" t="s">
        <v>105</v>
      </c>
      <c r="D72" s="1" t="s">
        <v>16</v>
      </c>
      <c r="E72" s="1"/>
      <c r="F72" s="1"/>
      <c r="G72" s="1"/>
      <c r="H72" s="1"/>
      <c r="I72" s="1"/>
      <c r="J72" s="1"/>
      <c r="K72" s="1"/>
      <c r="L72" s="1"/>
      <c r="M72" s="1"/>
      <c r="N72" s="2" t="s">
        <v>42</v>
      </c>
      <c r="O72" t="s">
        <v>35</v>
      </c>
      <c r="S72" t="s">
        <v>283</v>
      </c>
      <c r="T72" t="s">
        <v>173</v>
      </c>
      <c r="U72">
        <v>144</v>
      </c>
      <c r="V72">
        <f>COUNTIF(Modelos[Modelo Base], Modelos_Base[[#This Row],[MODELO_DESC]])</f>
        <v>1</v>
      </c>
    </row>
    <row r="73" spans="1:22" x14ac:dyDescent="0.25">
      <c r="A73" s="3" t="s">
        <v>3</v>
      </c>
      <c r="B73" t="s">
        <v>126</v>
      </c>
      <c r="C73" t="s">
        <v>105</v>
      </c>
      <c r="D73" s="1" t="s">
        <v>16</v>
      </c>
      <c r="E73" s="1"/>
      <c r="F73" s="1"/>
      <c r="G73" s="1"/>
      <c r="H73" s="1"/>
      <c r="I73" s="1"/>
      <c r="J73" s="1"/>
      <c r="K73" s="1"/>
      <c r="L73" s="1"/>
      <c r="M73" s="1"/>
      <c r="N73" s="2" t="s">
        <v>42</v>
      </c>
      <c r="O73" t="s">
        <v>35</v>
      </c>
      <c r="S73" t="s">
        <v>36</v>
      </c>
      <c r="T73" t="s">
        <v>43</v>
      </c>
      <c r="U73">
        <v>12</v>
      </c>
      <c r="V73">
        <f>COUNTIF(Modelos[Modelo Base], Modelos_Base[[#This Row],[MODELO_DESC]])</f>
        <v>1</v>
      </c>
    </row>
    <row r="74" spans="1:22" x14ac:dyDescent="0.25">
      <c r="A74" s="3" t="s">
        <v>3</v>
      </c>
      <c r="B74" t="s">
        <v>128</v>
      </c>
      <c r="C74" t="s">
        <v>105</v>
      </c>
      <c r="D74" s="1" t="s">
        <v>16</v>
      </c>
      <c r="E74" s="1"/>
      <c r="F74" s="1"/>
      <c r="G74" s="1"/>
      <c r="H74" s="1"/>
      <c r="I74" s="1"/>
      <c r="J74" s="1"/>
      <c r="K74" s="1"/>
      <c r="L74" s="1"/>
      <c r="M74" s="1"/>
      <c r="N74" s="2" t="s">
        <v>42</v>
      </c>
      <c r="O74" t="s">
        <v>35</v>
      </c>
      <c r="S74" t="s">
        <v>36</v>
      </c>
      <c r="T74" t="s">
        <v>45</v>
      </c>
      <c r="U74">
        <v>2</v>
      </c>
      <c r="V74">
        <f>COUNTIF(Modelos[Modelo Base], Modelos_Base[[#This Row],[MODELO_DESC]])</f>
        <v>1</v>
      </c>
    </row>
    <row r="75" spans="1:22" x14ac:dyDescent="0.25">
      <c r="A75" s="3" t="s">
        <v>3</v>
      </c>
      <c r="B75" t="s">
        <v>130</v>
      </c>
      <c r="C75" t="s">
        <v>105</v>
      </c>
      <c r="D75" s="1" t="s">
        <v>16</v>
      </c>
      <c r="E75" s="1"/>
      <c r="F75" s="1"/>
      <c r="G75" s="1"/>
      <c r="H75" s="1"/>
      <c r="I75" s="1"/>
      <c r="J75" s="1"/>
      <c r="K75" s="1"/>
      <c r="L75" s="1"/>
      <c r="M75" s="1"/>
      <c r="N75" s="2" t="s">
        <v>42</v>
      </c>
      <c r="O75" t="s">
        <v>35</v>
      </c>
      <c r="S75" t="s">
        <v>36</v>
      </c>
      <c r="T75" t="s">
        <v>47</v>
      </c>
      <c r="U75">
        <v>57</v>
      </c>
      <c r="V75">
        <f>COUNTIF(Modelos[Modelo Base], Modelos_Base[[#This Row],[MODELO_DESC]])</f>
        <v>1</v>
      </c>
    </row>
    <row r="76" spans="1:22" x14ac:dyDescent="0.25">
      <c r="A76" s="3" t="s">
        <v>3</v>
      </c>
      <c r="B76" t="s">
        <v>132</v>
      </c>
      <c r="C76" t="s">
        <v>105</v>
      </c>
      <c r="D76" s="1" t="s">
        <v>16</v>
      </c>
      <c r="E76" s="1"/>
      <c r="F76" s="1"/>
      <c r="G76" s="1"/>
      <c r="H76" s="1"/>
      <c r="I76" s="1"/>
      <c r="J76" s="1"/>
      <c r="K76" s="1"/>
      <c r="L76" s="1"/>
      <c r="M76" s="1"/>
      <c r="N76" s="2" t="s">
        <v>42</v>
      </c>
      <c r="O76" t="s">
        <v>35</v>
      </c>
      <c r="S76" t="s">
        <v>36</v>
      </c>
      <c r="T76" t="s">
        <v>49</v>
      </c>
      <c r="U76">
        <v>39</v>
      </c>
      <c r="V76">
        <f>COUNTIF(Modelos[Modelo Base], Modelos_Base[[#This Row],[MODELO_DESC]])</f>
        <v>1</v>
      </c>
    </row>
    <row r="77" spans="1:22" x14ac:dyDescent="0.25">
      <c r="A77" s="3" t="s">
        <v>3</v>
      </c>
      <c r="B77" t="s">
        <v>250</v>
      </c>
      <c r="C77" t="s">
        <v>41</v>
      </c>
      <c r="D77" s="1" t="s">
        <v>16</v>
      </c>
      <c r="E77" s="1"/>
      <c r="F77" s="1"/>
      <c r="G77" s="1"/>
      <c r="H77" s="1"/>
      <c r="I77" s="1"/>
      <c r="J77" s="1"/>
      <c r="K77" s="1"/>
      <c r="L77" s="1"/>
      <c r="M77" s="1"/>
      <c r="N77" s="2" t="s">
        <v>42</v>
      </c>
      <c r="O77" t="s">
        <v>35</v>
      </c>
      <c r="S77" t="s">
        <v>36</v>
      </c>
      <c r="T77" t="s">
        <v>52</v>
      </c>
      <c r="U77">
        <v>4</v>
      </c>
      <c r="V77">
        <f>COUNTIF(Modelos[Modelo Base], Modelos_Base[[#This Row],[MODELO_DESC]])</f>
        <v>1</v>
      </c>
    </row>
    <row r="78" spans="1:22" x14ac:dyDescent="0.25">
      <c r="A78" s="3" t="s">
        <v>3</v>
      </c>
      <c r="B78" t="s">
        <v>136</v>
      </c>
      <c r="C78" t="s">
        <v>41</v>
      </c>
      <c r="D78" s="1" t="s">
        <v>16</v>
      </c>
      <c r="E78" s="1"/>
      <c r="F78" s="1"/>
      <c r="G78" s="1"/>
      <c r="H78" s="1"/>
      <c r="I78" s="1"/>
      <c r="J78" s="1"/>
      <c r="K78" s="1"/>
      <c r="L78" s="1"/>
      <c r="M78" s="1"/>
      <c r="N78" s="2" t="s">
        <v>42</v>
      </c>
      <c r="O78" t="s">
        <v>35</v>
      </c>
      <c r="S78" t="s">
        <v>36</v>
      </c>
      <c r="T78" t="s">
        <v>54</v>
      </c>
      <c r="U78">
        <v>251</v>
      </c>
      <c r="V78">
        <f>COUNTIF(Modelos[Modelo Base], Modelos_Base[[#This Row],[MODELO_DESC]])</f>
        <v>1</v>
      </c>
    </row>
    <row r="79" spans="1:22" x14ac:dyDescent="0.25">
      <c r="A79" s="3" t="s">
        <v>3</v>
      </c>
      <c r="B79" t="s">
        <v>138</v>
      </c>
      <c r="C79" t="s">
        <v>41</v>
      </c>
      <c r="D79" s="1" t="s">
        <v>16</v>
      </c>
      <c r="E79" s="1"/>
      <c r="F79" s="1"/>
      <c r="G79" s="1"/>
      <c r="H79" s="1"/>
      <c r="I79" s="1"/>
      <c r="J79" s="1"/>
      <c r="K79" s="1"/>
      <c r="L79" s="1"/>
      <c r="M79" s="1"/>
      <c r="N79" s="2" t="s">
        <v>42</v>
      </c>
      <c r="O79" t="s">
        <v>35</v>
      </c>
      <c r="S79" t="s">
        <v>283</v>
      </c>
      <c r="T79" t="s">
        <v>5</v>
      </c>
      <c r="U79">
        <v>38</v>
      </c>
      <c r="V79">
        <f>COUNTIF(Modelos[Modelo Base], Modelos_Base[[#This Row],[MODELO_DESC]])</f>
        <v>1</v>
      </c>
    </row>
    <row r="80" spans="1:22" x14ac:dyDescent="0.25">
      <c r="A80" s="3" t="s">
        <v>3</v>
      </c>
      <c r="B80" t="s">
        <v>251</v>
      </c>
      <c r="C80" t="s">
        <v>89</v>
      </c>
      <c r="D80" s="1" t="s">
        <v>16</v>
      </c>
      <c r="E80" s="1"/>
      <c r="F80" s="1"/>
      <c r="G80" s="1"/>
      <c r="H80" s="1"/>
      <c r="I80" s="1"/>
      <c r="J80" s="1"/>
      <c r="K80" s="1"/>
      <c r="L80" s="1"/>
      <c r="M80" s="1"/>
      <c r="N80" s="2" t="s">
        <v>42</v>
      </c>
      <c r="O80" t="s">
        <v>35</v>
      </c>
      <c r="S80" t="s">
        <v>283</v>
      </c>
      <c r="T80" t="s">
        <v>8</v>
      </c>
      <c r="U80">
        <v>286</v>
      </c>
      <c r="V80">
        <f>COUNTIF(Modelos[Modelo Base], Modelos_Base[[#This Row],[MODELO_DESC]])</f>
        <v>1</v>
      </c>
    </row>
    <row r="81" spans="1:22" x14ac:dyDescent="0.25">
      <c r="A81" s="3" t="s">
        <v>3</v>
      </c>
      <c r="B81" t="s">
        <v>140</v>
      </c>
      <c r="C81" t="s">
        <v>41</v>
      </c>
      <c r="D81" s="1" t="s">
        <v>16</v>
      </c>
      <c r="E81" s="1"/>
      <c r="F81" s="1"/>
      <c r="G81" s="1"/>
      <c r="H81" s="1"/>
      <c r="I81" s="1"/>
      <c r="J81" s="1"/>
      <c r="K81" s="1"/>
      <c r="L81" s="1"/>
      <c r="M81" s="1"/>
      <c r="N81" s="2" t="s">
        <v>42</v>
      </c>
      <c r="O81" t="s">
        <v>35</v>
      </c>
      <c r="S81" t="s">
        <v>283</v>
      </c>
      <c r="T81" t="s">
        <v>181</v>
      </c>
      <c r="U81">
        <v>89</v>
      </c>
      <c r="V81">
        <f>COUNTIF(Modelos[Modelo Base], Modelos_Base[[#This Row],[MODELO_DESC]])</f>
        <v>1</v>
      </c>
    </row>
    <row r="82" spans="1:22" x14ac:dyDescent="0.25">
      <c r="A82" s="3" t="s">
        <v>3</v>
      </c>
      <c r="B82" t="s">
        <v>142</v>
      </c>
      <c r="C82" t="s">
        <v>58</v>
      </c>
      <c r="D82" s="1" t="s">
        <v>16</v>
      </c>
      <c r="E82" s="1"/>
      <c r="F82" s="1"/>
      <c r="G82" s="1"/>
      <c r="H82" s="1"/>
      <c r="I82" s="1"/>
      <c r="J82" s="1"/>
      <c r="K82" s="1"/>
      <c r="L82" s="1"/>
      <c r="M82" s="1"/>
      <c r="N82" s="2" t="s">
        <v>42</v>
      </c>
      <c r="O82" t="s">
        <v>35</v>
      </c>
      <c r="S82" t="s">
        <v>283</v>
      </c>
      <c r="T82" t="s">
        <v>183</v>
      </c>
      <c r="U82">
        <v>174</v>
      </c>
      <c r="V82">
        <f>COUNTIF(Modelos[Modelo Base], Modelos_Base[[#This Row],[MODELO_DESC]])</f>
        <v>1</v>
      </c>
    </row>
    <row r="83" spans="1:22" x14ac:dyDescent="0.25">
      <c r="A83" s="3" t="s">
        <v>3</v>
      </c>
      <c r="B83" t="s">
        <v>144</v>
      </c>
      <c r="C83" t="s">
        <v>58</v>
      </c>
      <c r="D83" s="1" t="s">
        <v>16</v>
      </c>
      <c r="E83" s="1"/>
      <c r="F83" s="1"/>
      <c r="G83" s="1"/>
      <c r="H83" s="1"/>
      <c r="I83" s="1"/>
      <c r="J83" s="1"/>
      <c r="K83" s="1"/>
      <c r="L83" s="1"/>
      <c r="M83" s="1"/>
      <c r="N83" s="2" t="s">
        <v>42</v>
      </c>
      <c r="O83" t="s">
        <v>35</v>
      </c>
      <c r="S83" t="s">
        <v>283</v>
      </c>
      <c r="T83" t="s">
        <v>185</v>
      </c>
      <c r="U83">
        <v>320</v>
      </c>
      <c r="V83">
        <f>COUNTIF(Modelos[Modelo Base], Modelos_Base[[#This Row],[MODELO_DESC]])</f>
        <v>1</v>
      </c>
    </row>
    <row r="84" spans="1:22" x14ac:dyDescent="0.25">
      <c r="A84" s="3" t="s">
        <v>3</v>
      </c>
      <c r="B84" t="s">
        <v>146</v>
      </c>
      <c r="C84" t="s">
        <v>58</v>
      </c>
      <c r="D84" s="1" t="s">
        <v>16</v>
      </c>
      <c r="E84" s="1"/>
      <c r="F84" s="1"/>
      <c r="G84" s="1"/>
      <c r="H84" s="1"/>
      <c r="I84" s="1"/>
      <c r="J84" s="1"/>
      <c r="K84" s="1"/>
      <c r="L84" s="1"/>
      <c r="M84" s="1"/>
      <c r="N84" s="2" t="s">
        <v>42</v>
      </c>
      <c r="O84" t="s">
        <v>35</v>
      </c>
      <c r="S84" t="s">
        <v>283</v>
      </c>
      <c r="T84" t="s">
        <v>12</v>
      </c>
      <c r="U84">
        <v>566</v>
      </c>
      <c r="V84">
        <f>COUNTIF(Modelos[Modelo Base], Modelos_Base[[#This Row],[MODELO_DESC]])</f>
        <v>1</v>
      </c>
    </row>
    <row r="85" spans="1:22" x14ac:dyDescent="0.25">
      <c r="A85" s="3" t="s">
        <v>3</v>
      </c>
      <c r="B85" t="s">
        <v>252</v>
      </c>
      <c r="C85" t="s">
        <v>58</v>
      </c>
      <c r="D85" s="1" t="s">
        <v>16</v>
      </c>
      <c r="E85" s="1"/>
      <c r="F85" s="1"/>
      <c r="G85" s="1"/>
      <c r="H85" s="1"/>
      <c r="I85" s="1"/>
      <c r="J85" s="1"/>
      <c r="K85" s="1"/>
      <c r="L85" s="1"/>
      <c r="M85" s="1"/>
      <c r="N85" s="2" t="s">
        <v>42</v>
      </c>
      <c r="O85" t="s">
        <v>35</v>
      </c>
      <c r="S85" t="s">
        <v>283</v>
      </c>
      <c r="T85" t="s">
        <v>188</v>
      </c>
      <c r="U85">
        <v>205</v>
      </c>
      <c r="V85">
        <f>COUNTIF(Modelos[Modelo Base], Modelos_Base[[#This Row],[MODELO_DESC]])</f>
        <v>1</v>
      </c>
    </row>
    <row r="86" spans="1:22" x14ac:dyDescent="0.25">
      <c r="A86" s="3" t="s">
        <v>3</v>
      </c>
      <c r="B86" t="s">
        <v>253</v>
      </c>
      <c r="C86" t="s">
        <v>105</v>
      </c>
      <c r="D86" s="1" t="s">
        <v>16</v>
      </c>
      <c r="E86" s="1"/>
      <c r="F86" s="1"/>
      <c r="G86" s="1"/>
      <c r="H86" s="1"/>
      <c r="I86" s="1"/>
      <c r="J86" s="1"/>
      <c r="K86" s="1"/>
      <c r="L86" s="1"/>
      <c r="M86" s="1"/>
      <c r="N86" s="2" t="s">
        <v>42</v>
      </c>
      <c r="O86" t="s">
        <v>35</v>
      </c>
      <c r="S86" t="s">
        <v>283</v>
      </c>
      <c r="T86" t="s">
        <v>190</v>
      </c>
      <c r="U86">
        <v>1</v>
      </c>
      <c r="V86">
        <f>COUNTIF(Modelos[Modelo Base], Modelos_Base[[#This Row],[MODELO_DESC]])</f>
        <v>1</v>
      </c>
    </row>
    <row r="87" spans="1:22" x14ac:dyDescent="0.25">
      <c r="A87" s="3" t="s">
        <v>3</v>
      </c>
      <c r="B87" t="s">
        <v>159</v>
      </c>
      <c r="C87" t="s">
        <v>58</v>
      </c>
      <c r="D87" s="1" t="s">
        <v>16</v>
      </c>
      <c r="E87" s="1"/>
      <c r="F87" s="1"/>
      <c r="G87" s="1"/>
      <c r="H87" s="1"/>
      <c r="I87" s="1"/>
      <c r="J87" s="1"/>
      <c r="K87" s="1"/>
      <c r="L87" s="1"/>
      <c r="M87" s="1"/>
      <c r="N87" s="2" t="s">
        <v>42</v>
      </c>
      <c r="O87" t="s">
        <v>35</v>
      </c>
      <c r="S87" t="s">
        <v>59</v>
      </c>
      <c r="T87" t="s">
        <v>60</v>
      </c>
      <c r="U87">
        <v>17</v>
      </c>
      <c r="V87">
        <f>COUNTIF(Modelos[Modelo Base], Modelos_Base[[#This Row],[MODELO_DESC]])</f>
        <v>1</v>
      </c>
    </row>
    <row r="88" spans="1:22" x14ac:dyDescent="0.25">
      <c r="A88" s="3" t="s">
        <v>3</v>
      </c>
      <c r="B88" s="2" t="s">
        <v>160</v>
      </c>
      <c r="C88" t="s">
        <v>89</v>
      </c>
      <c r="D88" s="1" t="s">
        <v>16</v>
      </c>
      <c r="F88" s="1"/>
      <c r="N88" t="s">
        <v>42</v>
      </c>
      <c r="O88" t="s">
        <v>35</v>
      </c>
      <c r="S88" t="s">
        <v>59</v>
      </c>
      <c r="T88" t="s">
        <v>62</v>
      </c>
      <c r="U88">
        <v>901</v>
      </c>
      <c r="V88">
        <f>COUNTIF(Modelos[Modelo Base], Modelos_Base[[#This Row],[MODELO_DESC]])</f>
        <v>1</v>
      </c>
    </row>
    <row r="89" spans="1:22" x14ac:dyDescent="0.25">
      <c r="A89" s="3" t="s">
        <v>3</v>
      </c>
      <c r="B89" t="s">
        <v>162</v>
      </c>
      <c r="C89" t="s">
        <v>89</v>
      </c>
      <c r="D89" s="1" t="s">
        <v>16</v>
      </c>
      <c r="E89" s="1"/>
      <c r="F89" s="1"/>
      <c r="G89" s="1"/>
      <c r="H89" s="1"/>
      <c r="I89" s="1"/>
      <c r="J89" s="1"/>
      <c r="K89" s="1"/>
      <c r="L89" s="1"/>
      <c r="M89" s="1"/>
      <c r="N89" s="2" t="s">
        <v>42</v>
      </c>
      <c r="O89" t="s">
        <v>35</v>
      </c>
      <c r="S89" t="s">
        <v>59</v>
      </c>
      <c r="T89" t="s">
        <v>64</v>
      </c>
      <c r="U89">
        <v>109</v>
      </c>
      <c r="V89">
        <f>COUNTIF(Modelos[Modelo Base], Modelos_Base[[#This Row],[MODELO_DESC]])</f>
        <v>1</v>
      </c>
    </row>
    <row r="90" spans="1:22" x14ac:dyDescent="0.25">
      <c r="A90" s="3" t="s">
        <v>3</v>
      </c>
      <c r="B90" t="s">
        <v>163</v>
      </c>
      <c r="C90" t="s">
        <v>58</v>
      </c>
      <c r="D90" s="1" t="s">
        <v>16</v>
      </c>
      <c r="E90" s="1"/>
      <c r="F90" s="1"/>
      <c r="G90" s="1"/>
      <c r="H90" s="1"/>
      <c r="I90" s="1"/>
      <c r="J90" s="1"/>
      <c r="K90" s="1"/>
      <c r="L90" s="1"/>
      <c r="M90" s="1"/>
      <c r="N90" s="2" t="s">
        <v>42</v>
      </c>
      <c r="O90" t="s">
        <v>35</v>
      </c>
      <c r="S90" t="s">
        <v>59</v>
      </c>
      <c r="T90" t="s">
        <v>66</v>
      </c>
      <c r="U90">
        <v>60</v>
      </c>
      <c r="V90">
        <f>COUNTIF(Modelos[Modelo Base], Modelos_Base[[#This Row],[MODELO_DESC]])</f>
        <v>1</v>
      </c>
    </row>
    <row r="91" spans="1:22" x14ac:dyDescent="0.25">
      <c r="A91" s="3" t="s">
        <v>3</v>
      </c>
      <c r="B91" t="s">
        <v>218</v>
      </c>
      <c r="C91" t="s">
        <v>58</v>
      </c>
      <c r="D91" s="1" t="s">
        <v>16</v>
      </c>
      <c r="E91" s="1"/>
      <c r="F91" s="1"/>
      <c r="G91" s="1"/>
      <c r="H91" s="1"/>
      <c r="I91" s="1"/>
      <c r="J91" s="1"/>
      <c r="K91" s="1"/>
      <c r="L91" s="1"/>
      <c r="M91" s="1"/>
      <c r="N91" s="2" t="s">
        <v>42</v>
      </c>
      <c r="O91" t="s">
        <v>35</v>
      </c>
      <c r="S91" t="s">
        <v>59</v>
      </c>
      <c r="T91" t="s">
        <v>68</v>
      </c>
      <c r="U91">
        <v>561</v>
      </c>
      <c r="V91">
        <f>COUNTIF(Modelos[Modelo Base], Modelos_Base[[#This Row],[MODELO_DESC]])</f>
        <v>1</v>
      </c>
    </row>
    <row r="92" spans="1:22" x14ac:dyDescent="0.25">
      <c r="A92" s="3" t="s">
        <v>3</v>
      </c>
      <c r="B92" t="s">
        <v>32</v>
      </c>
      <c r="C92" t="s">
        <v>33</v>
      </c>
      <c r="D92" s="1"/>
      <c r="E92" s="1"/>
      <c r="F92" s="1"/>
      <c r="G92" s="1"/>
      <c r="H92" s="1"/>
      <c r="I92" s="1"/>
      <c r="J92" s="1"/>
      <c r="K92" s="1"/>
      <c r="L92" s="1" t="s">
        <v>24</v>
      </c>
      <c r="M92" s="1"/>
      <c r="N92" s="2" t="s">
        <v>34</v>
      </c>
      <c r="O92" t="s">
        <v>35</v>
      </c>
      <c r="S92" t="s">
        <v>59</v>
      </c>
      <c r="T92" t="s">
        <v>213</v>
      </c>
      <c r="U92">
        <v>318</v>
      </c>
      <c r="V92">
        <f>COUNTIF(Modelos[Modelo Base], Modelos_Base[[#This Row],[MODELO_DESC]])</f>
        <v>1</v>
      </c>
    </row>
    <row r="93" spans="1:22" x14ac:dyDescent="0.25">
      <c r="A93" s="3" t="s">
        <v>3</v>
      </c>
      <c r="B93" t="s">
        <v>38</v>
      </c>
      <c r="C93" t="s">
        <v>33</v>
      </c>
      <c r="D93" s="1"/>
      <c r="E93" s="1"/>
      <c r="F93" s="1"/>
      <c r="G93" s="1"/>
      <c r="H93" s="1"/>
      <c r="I93" s="1"/>
      <c r="J93" s="1"/>
      <c r="K93" s="1"/>
      <c r="L93" s="1" t="s">
        <v>24</v>
      </c>
      <c r="M93" s="1" t="s">
        <v>25</v>
      </c>
      <c r="N93" s="2" t="s">
        <v>34</v>
      </c>
      <c r="O93" t="s">
        <v>35</v>
      </c>
      <c r="S93" t="s">
        <v>59</v>
      </c>
      <c r="T93" t="s">
        <v>220</v>
      </c>
      <c r="U93">
        <v>1</v>
      </c>
      <c r="V93">
        <f>COUNTIF(Modelos[Modelo Base], Modelos_Base[[#This Row],[MODELO_DESC]])</f>
        <v>1</v>
      </c>
    </row>
    <row r="94" spans="1:22" x14ac:dyDescent="0.25">
      <c r="A94" s="3" t="s">
        <v>3</v>
      </c>
      <c r="B94" t="s">
        <v>37</v>
      </c>
      <c r="C94" s="2" t="s">
        <v>87</v>
      </c>
      <c r="D94" s="1" t="s">
        <v>16</v>
      </c>
      <c r="E94" s="1"/>
      <c r="F94" s="1"/>
      <c r="G94" s="1"/>
      <c r="H94" s="1"/>
      <c r="I94" s="1"/>
      <c r="J94" s="1"/>
      <c r="K94" s="1"/>
      <c r="L94" s="1" t="s">
        <v>24</v>
      </c>
      <c r="M94" s="1"/>
      <c r="N94" s="2" t="s">
        <v>34</v>
      </c>
      <c r="O94" t="s">
        <v>35</v>
      </c>
      <c r="S94" t="s">
        <v>59</v>
      </c>
      <c r="T94" t="s">
        <v>216</v>
      </c>
      <c r="U94">
        <v>5</v>
      </c>
      <c r="V94">
        <f>COUNTIF(Modelos[Modelo Base], Modelos_Base[[#This Row],[MODELO_DESC]])</f>
        <v>1</v>
      </c>
    </row>
    <row r="95" spans="1:22" x14ac:dyDescent="0.25">
      <c r="A95" s="3" t="s">
        <v>3</v>
      </c>
      <c r="B95" t="s">
        <v>134</v>
      </c>
      <c r="C95" t="s">
        <v>151</v>
      </c>
      <c r="D95" s="1"/>
      <c r="E95" s="1"/>
      <c r="F95" s="1"/>
      <c r="G95" s="1"/>
      <c r="H95" s="1"/>
      <c r="I95" s="1"/>
      <c r="J95" s="1"/>
      <c r="K95" s="1"/>
      <c r="L95" s="1" t="s">
        <v>24</v>
      </c>
      <c r="M95" s="1"/>
      <c r="N95" s="2" t="s">
        <v>34</v>
      </c>
      <c r="O95" t="s">
        <v>35</v>
      </c>
      <c r="S95" t="s">
        <v>59</v>
      </c>
      <c r="T95" t="s">
        <v>221</v>
      </c>
      <c r="U95">
        <v>1</v>
      </c>
      <c r="V95">
        <f>COUNTIF(Modelos[Modelo Base], Modelos_Base[[#This Row],[MODELO_DESC]])</f>
        <v>1</v>
      </c>
    </row>
    <row r="96" spans="1:22" x14ac:dyDescent="0.25">
      <c r="A96" s="3" t="s">
        <v>3</v>
      </c>
      <c r="B96" t="s">
        <v>152</v>
      </c>
      <c r="C96" t="s">
        <v>153</v>
      </c>
      <c r="D96" s="1" t="s">
        <v>16</v>
      </c>
      <c r="E96" s="1"/>
      <c r="F96" s="1"/>
      <c r="G96" s="1"/>
      <c r="H96" s="1"/>
      <c r="I96" s="1"/>
      <c r="J96" s="1"/>
      <c r="K96" s="1"/>
      <c r="L96" s="1" t="s">
        <v>24</v>
      </c>
      <c r="M96" s="1"/>
      <c r="N96" s="2" t="s">
        <v>34</v>
      </c>
      <c r="O96" t="s">
        <v>35</v>
      </c>
      <c r="S96" t="s">
        <v>59</v>
      </c>
      <c r="T96" t="s">
        <v>222</v>
      </c>
      <c r="U96">
        <v>28</v>
      </c>
      <c r="V96">
        <f>COUNTIF(Modelos[Modelo Base], Modelos_Base[[#This Row],[MODELO_DESC]])</f>
        <v>1</v>
      </c>
    </row>
    <row r="97" spans="1:22" x14ac:dyDescent="0.25">
      <c r="A97" s="3" t="s">
        <v>3</v>
      </c>
      <c r="B97" t="s">
        <v>154</v>
      </c>
      <c r="C97" t="s">
        <v>153</v>
      </c>
      <c r="D97" s="1" t="s">
        <v>16</v>
      </c>
      <c r="E97" s="1"/>
      <c r="F97" s="1"/>
      <c r="G97" s="1"/>
      <c r="H97" s="1"/>
      <c r="I97" s="1"/>
      <c r="J97" s="1"/>
      <c r="K97" s="1"/>
      <c r="L97" s="1" t="s">
        <v>24</v>
      </c>
      <c r="M97" s="1" t="s">
        <v>25</v>
      </c>
      <c r="N97" s="2" t="s">
        <v>34</v>
      </c>
      <c r="O97" t="s">
        <v>35</v>
      </c>
      <c r="S97" t="s">
        <v>59</v>
      </c>
      <c r="T97" t="s">
        <v>70</v>
      </c>
      <c r="U97">
        <v>1</v>
      </c>
      <c r="V97">
        <f>COUNTIF(Modelos[Modelo Base], Modelos_Base[[#This Row],[MODELO_DESC]])</f>
        <v>1</v>
      </c>
    </row>
    <row r="98" spans="1:22" x14ac:dyDescent="0.25">
      <c r="A98" s="3" t="s">
        <v>3</v>
      </c>
      <c r="B98" t="s">
        <v>56</v>
      </c>
      <c r="C98" t="s">
        <v>155</v>
      </c>
      <c r="D98" s="1"/>
      <c r="E98" s="1"/>
      <c r="F98" s="1"/>
      <c r="G98" s="1"/>
      <c r="H98" s="1"/>
      <c r="I98" s="1"/>
      <c r="J98" s="1"/>
      <c r="K98" s="1"/>
      <c r="L98" s="1" t="s">
        <v>24</v>
      </c>
      <c r="M98" s="1"/>
      <c r="N98" s="2" t="s">
        <v>34</v>
      </c>
      <c r="O98" t="s">
        <v>35</v>
      </c>
      <c r="S98" t="s">
        <v>59</v>
      </c>
      <c r="T98" t="s">
        <v>223</v>
      </c>
      <c r="U98">
        <v>30</v>
      </c>
      <c r="V98">
        <f>COUNTIF(Modelos[Modelo Base], Modelos_Base[[#This Row],[MODELO_DESC]])</f>
        <v>1</v>
      </c>
    </row>
    <row r="99" spans="1:22" x14ac:dyDescent="0.25">
      <c r="A99" s="3" t="s">
        <v>3</v>
      </c>
      <c r="B99" t="s">
        <v>148</v>
      </c>
      <c r="C99" t="s">
        <v>87</v>
      </c>
      <c r="D99" s="1"/>
      <c r="E99" s="1"/>
      <c r="F99" s="1"/>
      <c r="G99" s="1"/>
      <c r="H99" s="1"/>
      <c r="I99" s="1"/>
      <c r="J99" s="1"/>
      <c r="K99" s="1"/>
      <c r="L99" s="1" t="s">
        <v>24</v>
      </c>
      <c r="M99" s="1"/>
      <c r="N99" s="2" t="s">
        <v>34</v>
      </c>
      <c r="O99" t="s">
        <v>35</v>
      </c>
      <c r="S99" t="s">
        <v>59</v>
      </c>
      <c r="T99" t="s">
        <v>224</v>
      </c>
      <c r="U99">
        <v>52</v>
      </c>
      <c r="V99">
        <f>COUNTIF(Modelos[Modelo Base], Modelos_Base[[#This Row],[MODELO_DESC]])</f>
        <v>1</v>
      </c>
    </row>
    <row r="100" spans="1:22" x14ac:dyDescent="0.25">
      <c r="A100" s="3" t="s">
        <v>3</v>
      </c>
      <c r="B100" s="2" t="s">
        <v>172</v>
      </c>
      <c r="C100" t="s">
        <v>153</v>
      </c>
      <c r="D100" s="1" t="s">
        <v>16</v>
      </c>
      <c r="E100" s="1"/>
      <c r="F100" s="1"/>
      <c r="G100" s="1"/>
      <c r="H100" s="1"/>
      <c r="I100" s="1"/>
      <c r="J100" s="1"/>
      <c r="K100" s="1"/>
      <c r="L100" s="1" t="s">
        <v>24</v>
      </c>
      <c r="M100" s="1" t="s">
        <v>25</v>
      </c>
      <c r="N100" s="2" t="s">
        <v>34</v>
      </c>
      <c r="O100" t="s">
        <v>35</v>
      </c>
      <c r="S100" t="s">
        <v>59</v>
      </c>
      <c r="T100" t="s">
        <v>72</v>
      </c>
      <c r="U100">
        <v>73</v>
      </c>
      <c r="V100">
        <f>COUNTIF(Modelos[Modelo Base], Modelos_Base[[#This Row],[MODELO_DESC]])</f>
        <v>1</v>
      </c>
    </row>
    <row r="101" spans="1:22" x14ac:dyDescent="0.25">
      <c r="A101" s="3" t="s">
        <v>3</v>
      </c>
      <c r="B101" t="s">
        <v>98</v>
      </c>
      <c r="C101" t="s">
        <v>96</v>
      </c>
      <c r="D101" s="1" t="s">
        <v>16</v>
      </c>
      <c r="E101" s="1"/>
      <c r="F101" s="1"/>
      <c r="G101" s="1"/>
      <c r="H101" s="1"/>
      <c r="I101" s="1"/>
      <c r="J101" s="1"/>
      <c r="K101" s="1" t="s">
        <v>23</v>
      </c>
      <c r="L101" s="1"/>
      <c r="M101" s="1"/>
      <c r="N101" s="2" t="s">
        <v>99</v>
      </c>
      <c r="O101" t="s">
        <v>35</v>
      </c>
      <c r="S101" t="s">
        <v>59</v>
      </c>
      <c r="T101" t="s">
        <v>227</v>
      </c>
      <c r="U101">
        <v>8</v>
      </c>
      <c r="V101">
        <f>COUNTIF(Modelos[Modelo Base], Modelos_Base[[#This Row],[MODELO_DESC]])</f>
        <v>1</v>
      </c>
    </row>
    <row r="102" spans="1:22" x14ac:dyDescent="0.25">
      <c r="A102" s="3" t="s">
        <v>3</v>
      </c>
      <c r="B102" t="s">
        <v>100</v>
      </c>
      <c r="C102" t="s">
        <v>96</v>
      </c>
      <c r="D102" s="1" t="s">
        <v>16</v>
      </c>
      <c r="E102" s="1"/>
      <c r="F102" s="1"/>
      <c r="G102" s="1"/>
      <c r="H102" s="1"/>
      <c r="I102" s="1"/>
      <c r="J102" s="1"/>
      <c r="K102" s="1" t="s">
        <v>23</v>
      </c>
      <c r="L102" s="1"/>
      <c r="M102" s="1" t="s">
        <v>25</v>
      </c>
      <c r="N102" s="2" t="s">
        <v>99</v>
      </c>
      <c r="O102" t="s">
        <v>35</v>
      </c>
      <c r="S102" t="s">
        <v>59</v>
      </c>
      <c r="T102" t="s">
        <v>217</v>
      </c>
      <c r="U102">
        <v>9</v>
      </c>
      <c r="V102">
        <f>COUNTIF(Modelos[Modelo Base], Modelos_Base[[#This Row],[MODELO_DESC]])</f>
        <v>1</v>
      </c>
    </row>
    <row r="103" spans="1:22" x14ac:dyDescent="0.25">
      <c r="A103" s="3" t="s">
        <v>3</v>
      </c>
      <c r="B103" t="s">
        <v>120</v>
      </c>
      <c r="C103" t="s">
        <v>105</v>
      </c>
      <c r="D103" s="1" t="s">
        <v>16</v>
      </c>
      <c r="E103" s="1"/>
      <c r="F103" s="1"/>
      <c r="G103" s="1"/>
      <c r="H103" s="1"/>
      <c r="I103" s="1"/>
      <c r="J103" s="1"/>
      <c r="K103" s="1" t="s">
        <v>23</v>
      </c>
      <c r="L103" s="1"/>
      <c r="M103" s="1"/>
      <c r="N103" s="2" t="s">
        <v>99</v>
      </c>
      <c r="O103" t="s">
        <v>35</v>
      </c>
      <c r="S103" t="s">
        <v>283</v>
      </c>
      <c r="T103" t="s">
        <v>192</v>
      </c>
      <c r="U103">
        <v>60</v>
      </c>
      <c r="V103">
        <f>COUNTIF(Modelos[Modelo Base], Modelos_Base[[#This Row],[MODELO_DESC]])</f>
        <v>1</v>
      </c>
    </row>
    <row r="104" spans="1:22" x14ac:dyDescent="0.25">
      <c r="A104" s="3" t="s">
        <v>3</v>
      </c>
      <c r="B104" t="s">
        <v>121</v>
      </c>
      <c r="C104" t="s">
        <v>105</v>
      </c>
      <c r="D104" s="1" t="s">
        <v>16</v>
      </c>
      <c r="E104" s="1"/>
      <c r="F104" s="1"/>
      <c r="G104" s="1"/>
      <c r="H104" s="1"/>
      <c r="I104" s="1"/>
      <c r="J104" s="1"/>
      <c r="K104" s="1" t="s">
        <v>23</v>
      </c>
      <c r="L104" s="1"/>
      <c r="M104" s="1"/>
      <c r="N104" s="2" t="s">
        <v>99</v>
      </c>
      <c r="O104" t="s">
        <v>35</v>
      </c>
      <c r="S104" t="s">
        <v>283</v>
      </c>
      <c r="T104" t="s">
        <v>192</v>
      </c>
      <c r="U104">
        <v>7</v>
      </c>
      <c r="V104">
        <f>COUNTIF(Modelos[Modelo Base], Modelos_Base[[#This Row],[MODELO_DESC]])</f>
        <v>1</v>
      </c>
    </row>
    <row r="105" spans="1:22" x14ac:dyDescent="0.25">
      <c r="A105" s="3" t="s">
        <v>3</v>
      </c>
      <c r="B105" t="s">
        <v>122</v>
      </c>
      <c r="C105" t="s">
        <v>105</v>
      </c>
      <c r="D105" s="1" t="s">
        <v>16</v>
      </c>
      <c r="E105" s="1"/>
      <c r="F105" s="1"/>
      <c r="G105" s="1"/>
      <c r="H105" s="1"/>
      <c r="I105" s="1"/>
      <c r="J105" s="1"/>
      <c r="K105" s="1" t="s">
        <v>23</v>
      </c>
      <c r="L105" s="1"/>
      <c r="M105" s="1"/>
      <c r="N105" s="2" t="s">
        <v>99</v>
      </c>
      <c r="O105" t="s">
        <v>35</v>
      </c>
      <c r="S105" t="s">
        <v>283</v>
      </c>
      <c r="T105" t="s">
        <v>195</v>
      </c>
      <c r="U105">
        <v>18</v>
      </c>
      <c r="V105">
        <f>COUNTIF(Modelos[Modelo Base], Modelos_Base[[#This Row],[MODELO_DESC]])</f>
        <v>1</v>
      </c>
    </row>
    <row r="106" spans="1:22" x14ac:dyDescent="0.25">
      <c r="A106" s="3" t="s">
        <v>3</v>
      </c>
      <c r="B106" t="s">
        <v>123</v>
      </c>
      <c r="C106" t="s">
        <v>105</v>
      </c>
      <c r="D106" s="1" t="s">
        <v>16</v>
      </c>
      <c r="E106" s="1"/>
      <c r="F106" s="1"/>
      <c r="G106" s="1"/>
      <c r="H106" s="1"/>
      <c r="I106" s="1"/>
      <c r="J106" s="1"/>
      <c r="K106" s="1" t="s">
        <v>23</v>
      </c>
      <c r="L106" s="1"/>
      <c r="M106" s="1"/>
      <c r="N106" s="2" t="s">
        <v>99</v>
      </c>
      <c r="O106" t="s">
        <v>35</v>
      </c>
      <c r="S106" t="s">
        <v>283</v>
      </c>
      <c r="T106" t="s">
        <v>195</v>
      </c>
      <c r="U106">
        <v>6</v>
      </c>
      <c r="V106">
        <f>COUNTIF(Modelos[Modelo Base], Modelos_Base[[#This Row],[MODELO_DESC]])</f>
        <v>1</v>
      </c>
    </row>
    <row r="107" spans="1:22" x14ac:dyDescent="0.25">
      <c r="A107" s="3" t="s">
        <v>3</v>
      </c>
      <c r="B107" t="s">
        <v>124</v>
      </c>
      <c r="C107" t="s">
        <v>105</v>
      </c>
      <c r="D107" s="1" t="s">
        <v>16</v>
      </c>
      <c r="E107" s="1"/>
      <c r="F107" s="1"/>
      <c r="G107" s="1"/>
      <c r="H107" s="1"/>
      <c r="I107" s="1"/>
      <c r="J107" s="1"/>
      <c r="K107" s="1" t="s">
        <v>23</v>
      </c>
      <c r="L107" s="1"/>
      <c r="M107" s="1"/>
      <c r="N107" s="2" t="s">
        <v>99</v>
      </c>
      <c r="O107" t="s">
        <v>35</v>
      </c>
      <c r="S107" t="s">
        <v>283</v>
      </c>
      <c r="T107" t="s">
        <v>198</v>
      </c>
      <c r="U107">
        <v>116</v>
      </c>
      <c r="V107">
        <f>COUNTIF(Modelos[Modelo Base], Modelos_Base[[#This Row],[MODELO_DESC]])</f>
        <v>1</v>
      </c>
    </row>
    <row r="108" spans="1:22" x14ac:dyDescent="0.25">
      <c r="A108" s="3" t="s">
        <v>3</v>
      </c>
      <c r="B108" t="s">
        <v>125</v>
      </c>
      <c r="C108" t="s">
        <v>105</v>
      </c>
      <c r="D108" s="1" t="s">
        <v>16</v>
      </c>
      <c r="E108" s="1"/>
      <c r="F108" s="1"/>
      <c r="G108" s="1"/>
      <c r="H108" s="1"/>
      <c r="I108" s="1"/>
      <c r="J108" s="1"/>
      <c r="K108" s="1" t="s">
        <v>23</v>
      </c>
      <c r="L108" s="1"/>
      <c r="M108" s="1"/>
      <c r="N108" s="2" t="s">
        <v>99</v>
      </c>
      <c r="O108" t="s">
        <v>35</v>
      </c>
      <c r="S108" t="s">
        <v>283</v>
      </c>
      <c r="T108" t="s">
        <v>198</v>
      </c>
      <c r="U108">
        <v>299</v>
      </c>
      <c r="V108">
        <f>COUNTIF(Modelos[Modelo Base], Modelos_Base[[#This Row],[MODELO_DESC]])</f>
        <v>1</v>
      </c>
    </row>
    <row r="109" spans="1:22" x14ac:dyDescent="0.25">
      <c r="A109" s="3" t="s">
        <v>3</v>
      </c>
      <c r="B109" t="s">
        <v>127</v>
      </c>
      <c r="C109" t="s">
        <v>105</v>
      </c>
      <c r="D109" s="1" t="s">
        <v>16</v>
      </c>
      <c r="E109" s="1"/>
      <c r="F109" s="1"/>
      <c r="G109" s="1"/>
      <c r="H109" s="1"/>
      <c r="I109" s="1"/>
      <c r="J109" s="1"/>
      <c r="K109" s="1" t="s">
        <v>23</v>
      </c>
      <c r="L109" s="1"/>
      <c r="M109" s="1" t="s">
        <v>25</v>
      </c>
      <c r="N109" s="2" t="s">
        <v>99</v>
      </c>
      <c r="O109" t="s">
        <v>35</v>
      </c>
      <c r="S109" t="s">
        <v>42</v>
      </c>
      <c r="T109" t="s">
        <v>148</v>
      </c>
      <c r="U109">
        <v>1</v>
      </c>
      <c r="V109">
        <f>COUNTIF(Modelos[Modelo Base], Modelos_Base[[#This Row],[MODELO_DESC]])</f>
        <v>1</v>
      </c>
    </row>
    <row r="110" spans="1:22" x14ac:dyDescent="0.25">
      <c r="A110" s="3" t="s">
        <v>3</v>
      </c>
      <c r="B110" t="s">
        <v>129</v>
      </c>
      <c r="C110" t="s">
        <v>105</v>
      </c>
      <c r="D110" s="1" t="s">
        <v>16</v>
      </c>
      <c r="E110" s="1"/>
      <c r="F110" s="1"/>
      <c r="G110" s="1"/>
      <c r="H110" s="1"/>
      <c r="I110" s="1"/>
      <c r="J110" s="1"/>
      <c r="K110" s="1" t="s">
        <v>23</v>
      </c>
      <c r="L110" s="1"/>
      <c r="M110" s="1" t="s">
        <v>25</v>
      </c>
      <c r="N110" s="2" t="s">
        <v>99</v>
      </c>
      <c r="O110" t="s">
        <v>35</v>
      </c>
      <c r="S110" t="s">
        <v>283</v>
      </c>
      <c r="T110" t="s">
        <v>200</v>
      </c>
      <c r="U110">
        <v>4</v>
      </c>
      <c r="V110">
        <f>COUNTIF(Modelos[Modelo Base], Modelos_Base[[#This Row],[MODELO_DESC]])</f>
        <v>1</v>
      </c>
    </row>
    <row r="111" spans="1:22" x14ac:dyDescent="0.25">
      <c r="A111" s="3" t="s">
        <v>3</v>
      </c>
      <c r="B111" t="s">
        <v>131</v>
      </c>
      <c r="C111" t="s">
        <v>105</v>
      </c>
      <c r="D111" s="1" t="s">
        <v>16</v>
      </c>
      <c r="E111" s="1"/>
      <c r="F111" s="1"/>
      <c r="G111" s="1"/>
      <c r="H111" s="1"/>
      <c r="I111" s="1"/>
      <c r="J111" s="1"/>
      <c r="K111" s="1" t="s">
        <v>23</v>
      </c>
      <c r="L111" s="1"/>
      <c r="M111" s="1" t="s">
        <v>25</v>
      </c>
      <c r="N111" s="2" t="s">
        <v>99</v>
      </c>
      <c r="O111" t="s">
        <v>35</v>
      </c>
      <c r="S111" t="s">
        <v>283</v>
      </c>
      <c r="T111" t="s">
        <v>201</v>
      </c>
      <c r="U111">
        <v>38</v>
      </c>
      <c r="V111">
        <f>COUNTIF(Modelos[Modelo Base], Modelos_Base[[#This Row],[MODELO_DESC]])</f>
        <v>1</v>
      </c>
    </row>
    <row r="112" spans="1:22" x14ac:dyDescent="0.25">
      <c r="A112" s="3" t="s">
        <v>3</v>
      </c>
      <c r="B112" t="s">
        <v>133</v>
      </c>
      <c r="C112" t="s">
        <v>105</v>
      </c>
      <c r="D112" s="1" t="s">
        <v>16</v>
      </c>
      <c r="E112" s="1"/>
      <c r="F112" s="1"/>
      <c r="G112" s="1"/>
      <c r="H112" s="1"/>
      <c r="I112" s="1"/>
      <c r="J112" s="1"/>
      <c r="K112" s="1" t="s">
        <v>23</v>
      </c>
      <c r="L112" s="1"/>
      <c r="M112" s="1" t="s">
        <v>25</v>
      </c>
      <c r="N112" s="2" t="s">
        <v>99</v>
      </c>
      <c r="O112" t="s">
        <v>35</v>
      </c>
      <c r="S112" t="s">
        <v>283</v>
      </c>
      <c r="T112" t="s">
        <v>201</v>
      </c>
      <c r="U112">
        <v>30</v>
      </c>
      <c r="V112">
        <f>COUNTIF(Modelos[Modelo Base], Modelos_Base[[#This Row],[MODELO_DESC]])</f>
        <v>1</v>
      </c>
    </row>
    <row r="113" spans="1:22" x14ac:dyDescent="0.25">
      <c r="A113" s="3" t="s">
        <v>3</v>
      </c>
      <c r="B113" t="s">
        <v>135</v>
      </c>
      <c r="C113" t="s">
        <v>105</v>
      </c>
      <c r="D113" s="1" t="s">
        <v>16</v>
      </c>
      <c r="E113" s="1"/>
      <c r="F113" s="1"/>
      <c r="G113" s="1"/>
      <c r="H113" s="1"/>
      <c r="I113" s="1"/>
      <c r="J113" s="1"/>
      <c r="K113" s="1" t="s">
        <v>23</v>
      </c>
      <c r="L113" s="1"/>
      <c r="M113" s="1"/>
      <c r="N113" s="2" t="s">
        <v>99</v>
      </c>
      <c r="O113" t="s">
        <v>35</v>
      </c>
      <c r="S113" t="s">
        <v>161</v>
      </c>
      <c r="T113" t="s">
        <v>159</v>
      </c>
      <c r="U113">
        <v>23</v>
      </c>
      <c r="V113">
        <f>COUNTIF(Modelos[Modelo Base], Modelos_Base[[#This Row],[MODELO_DESC]])</f>
        <v>1</v>
      </c>
    </row>
    <row r="114" spans="1:22" x14ac:dyDescent="0.25">
      <c r="A114" s="3" t="s">
        <v>3</v>
      </c>
      <c r="B114" t="s">
        <v>137</v>
      </c>
      <c r="C114" t="s">
        <v>105</v>
      </c>
      <c r="D114" s="1" t="s">
        <v>16</v>
      </c>
      <c r="E114" s="1"/>
      <c r="F114" s="1"/>
      <c r="G114" s="1"/>
      <c r="H114" s="1"/>
      <c r="I114" s="1"/>
      <c r="J114" s="1"/>
      <c r="K114" s="1" t="s">
        <v>23</v>
      </c>
      <c r="L114" s="1"/>
      <c r="M114" s="1"/>
      <c r="N114" s="2" t="s">
        <v>99</v>
      </c>
      <c r="O114" t="s">
        <v>35</v>
      </c>
      <c r="S114" t="s">
        <v>161</v>
      </c>
      <c r="T114" t="s">
        <v>160</v>
      </c>
      <c r="U114">
        <v>11</v>
      </c>
      <c r="V114">
        <f>COUNTIF(Modelos[Modelo Base], Modelos_Base[[#This Row],[MODELO_DESC]])</f>
        <v>1</v>
      </c>
    </row>
    <row r="115" spans="1:22" x14ac:dyDescent="0.25">
      <c r="A115" s="3" t="s">
        <v>3</v>
      </c>
      <c r="B115" t="s">
        <v>139</v>
      </c>
      <c r="C115" t="s">
        <v>105</v>
      </c>
      <c r="D115" s="1" t="s">
        <v>16</v>
      </c>
      <c r="E115" s="1"/>
      <c r="F115" s="1"/>
      <c r="G115" s="1"/>
      <c r="H115" s="1"/>
      <c r="I115" s="1"/>
      <c r="J115" s="1"/>
      <c r="K115" s="1" t="s">
        <v>23</v>
      </c>
      <c r="L115" s="1"/>
      <c r="M115" s="1"/>
      <c r="N115" s="2" t="s">
        <v>99</v>
      </c>
      <c r="O115" t="s">
        <v>35</v>
      </c>
      <c r="S115" t="s">
        <v>161</v>
      </c>
      <c r="T115" t="s">
        <v>163</v>
      </c>
      <c r="U115">
        <v>2</v>
      </c>
      <c r="V115">
        <f>COUNTIF(Modelos[Modelo Base], Modelos_Base[[#This Row],[MODELO_DESC]])</f>
        <v>1</v>
      </c>
    </row>
    <row r="116" spans="1:22" x14ac:dyDescent="0.25">
      <c r="A116" s="3" t="s">
        <v>3</v>
      </c>
      <c r="B116" t="s">
        <v>141</v>
      </c>
      <c r="C116" t="s">
        <v>105</v>
      </c>
      <c r="D116" s="1" t="s">
        <v>16</v>
      </c>
      <c r="E116" s="1"/>
      <c r="F116" s="1"/>
      <c r="G116" s="1"/>
      <c r="H116" s="1"/>
      <c r="I116" s="1"/>
      <c r="J116" s="1"/>
      <c r="K116" s="1" t="s">
        <v>23</v>
      </c>
      <c r="L116" s="1"/>
      <c r="M116" s="1"/>
      <c r="N116" s="2" t="s">
        <v>99</v>
      </c>
      <c r="O116" t="s">
        <v>35</v>
      </c>
      <c r="S116" t="s">
        <v>161</v>
      </c>
      <c r="T116" t="s">
        <v>218</v>
      </c>
      <c r="U116">
        <v>1</v>
      </c>
      <c r="V116">
        <f>COUNTIF(Modelos[Modelo Base], Modelos_Base[[#This Row],[MODELO_DESC]])</f>
        <v>1</v>
      </c>
    </row>
    <row r="117" spans="1:22" x14ac:dyDescent="0.25">
      <c r="A117" s="3" t="s">
        <v>3</v>
      </c>
      <c r="B117" t="s">
        <v>143</v>
      </c>
      <c r="C117" t="s">
        <v>105</v>
      </c>
      <c r="D117" s="1" t="s">
        <v>16</v>
      </c>
      <c r="E117" s="1"/>
      <c r="F117" s="1"/>
      <c r="G117" s="1"/>
      <c r="H117" s="1"/>
      <c r="I117" s="1"/>
      <c r="J117" s="1"/>
      <c r="K117" s="1" t="s">
        <v>23</v>
      </c>
      <c r="L117" s="1"/>
      <c r="M117" s="1"/>
      <c r="N117" s="2" t="s">
        <v>99</v>
      </c>
      <c r="O117" t="s">
        <v>35</v>
      </c>
      <c r="S117" t="s">
        <v>161</v>
      </c>
      <c r="T117" t="s">
        <v>164</v>
      </c>
      <c r="U117">
        <v>3</v>
      </c>
      <c r="V117">
        <f>COUNTIF(Modelos[Modelo Base], Modelos_Base[[#This Row],[MODELO_DESC]])</f>
        <v>1</v>
      </c>
    </row>
    <row r="118" spans="1:22" x14ac:dyDescent="0.25">
      <c r="A118" s="3" t="s">
        <v>3</v>
      </c>
      <c r="B118" t="s">
        <v>145</v>
      </c>
      <c r="C118" t="s">
        <v>105</v>
      </c>
      <c r="D118" s="1" t="s">
        <v>16</v>
      </c>
      <c r="E118" s="1"/>
      <c r="F118" s="1"/>
      <c r="G118" s="1"/>
      <c r="H118" s="1"/>
      <c r="I118" s="1"/>
      <c r="J118" s="1"/>
      <c r="K118" s="1" t="s">
        <v>23</v>
      </c>
      <c r="L118" s="1"/>
      <c r="M118" s="1"/>
      <c r="N118" s="2" t="s">
        <v>99</v>
      </c>
      <c r="O118" t="s">
        <v>35</v>
      </c>
      <c r="S118" t="s">
        <v>161</v>
      </c>
      <c r="T118" t="s">
        <v>166</v>
      </c>
      <c r="U118">
        <v>23</v>
      </c>
      <c r="V118">
        <f>COUNTIF(Modelos[Modelo Base], Modelos_Base[[#This Row],[MODELO_DESC]])</f>
        <v>1</v>
      </c>
    </row>
    <row r="119" spans="1:22" x14ac:dyDescent="0.25">
      <c r="A119" s="3" t="s">
        <v>3</v>
      </c>
      <c r="B119" t="s">
        <v>147</v>
      </c>
      <c r="C119" t="s">
        <v>105</v>
      </c>
      <c r="D119" s="1" t="s">
        <v>16</v>
      </c>
      <c r="E119" s="1"/>
      <c r="F119" s="1"/>
      <c r="G119" s="1"/>
      <c r="H119" s="1"/>
      <c r="I119" s="1"/>
      <c r="J119" s="1"/>
      <c r="K119" s="1" t="s">
        <v>23</v>
      </c>
      <c r="L119" s="1"/>
      <c r="M119" s="1"/>
      <c r="N119" s="2" t="s">
        <v>99</v>
      </c>
      <c r="O119" t="s">
        <v>35</v>
      </c>
      <c r="S119" t="s">
        <v>161</v>
      </c>
      <c r="T119" t="s">
        <v>168</v>
      </c>
      <c r="U119">
        <v>37</v>
      </c>
      <c r="V119">
        <f>COUNTIF(Modelos[Modelo Base], Modelos_Base[[#This Row],[MODELO_DESC]])</f>
        <v>1</v>
      </c>
    </row>
    <row r="120" spans="1:22" x14ac:dyDescent="0.25">
      <c r="A120" s="3" t="s">
        <v>3</v>
      </c>
      <c r="B120" t="s">
        <v>149</v>
      </c>
      <c r="C120" t="s">
        <v>105</v>
      </c>
      <c r="D120" s="1" t="s">
        <v>16</v>
      </c>
      <c r="E120" s="1"/>
      <c r="F120" s="1"/>
      <c r="G120" s="1"/>
      <c r="H120" s="1"/>
      <c r="I120" s="1"/>
      <c r="J120" s="1"/>
      <c r="K120" s="1" t="s">
        <v>23</v>
      </c>
      <c r="L120" s="1"/>
      <c r="M120" s="1"/>
      <c r="N120" s="2" t="s">
        <v>99</v>
      </c>
      <c r="O120" t="s">
        <v>35</v>
      </c>
      <c r="S120" t="s">
        <v>161</v>
      </c>
      <c r="T120" t="s">
        <v>169</v>
      </c>
      <c r="U120">
        <v>106</v>
      </c>
      <c r="V120">
        <f>COUNTIF(Modelos[Modelo Base], Modelos_Base[[#This Row],[MODELO_DESC]])</f>
        <v>1</v>
      </c>
    </row>
    <row r="121" spans="1:22" x14ac:dyDescent="0.25">
      <c r="A121" s="3" t="s">
        <v>3</v>
      </c>
      <c r="B121" t="s">
        <v>150</v>
      </c>
      <c r="C121" t="s">
        <v>105</v>
      </c>
      <c r="D121" s="1" t="s">
        <v>16</v>
      </c>
      <c r="E121" s="1"/>
      <c r="F121" s="1"/>
      <c r="G121" s="1"/>
      <c r="H121" s="1"/>
      <c r="I121" s="1"/>
      <c r="J121" s="1"/>
      <c r="K121" s="1"/>
      <c r="L121" s="1"/>
      <c r="M121" s="1" t="s">
        <v>25</v>
      </c>
      <c r="N121" s="2" t="s">
        <v>99</v>
      </c>
      <c r="O121" t="s">
        <v>35</v>
      </c>
      <c r="S121" t="s">
        <v>161</v>
      </c>
      <c r="T121" t="s">
        <v>170</v>
      </c>
      <c r="U121">
        <v>1</v>
      </c>
      <c r="V121">
        <f>COUNTIF(Modelos[Modelo Base], Modelos_Base[[#This Row],[MODELO_DESC]])</f>
        <v>1</v>
      </c>
    </row>
    <row r="122" spans="1:22" x14ac:dyDescent="0.25">
      <c r="A122" s="3" t="s">
        <v>3</v>
      </c>
      <c r="B122" t="s">
        <v>174</v>
      </c>
      <c r="C122" t="s">
        <v>153</v>
      </c>
      <c r="D122" s="1" t="s">
        <v>16</v>
      </c>
      <c r="E122" s="1"/>
      <c r="F122" s="1"/>
      <c r="G122" s="1"/>
      <c r="H122" s="1"/>
      <c r="I122" s="1"/>
      <c r="J122" s="1"/>
      <c r="K122" s="1"/>
      <c r="L122" s="1" t="s">
        <v>24</v>
      </c>
      <c r="M122" s="1" t="s">
        <v>25</v>
      </c>
      <c r="N122" s="2" t="s">
        <v>175</v>
      </c>
      <c r="O122" t="s">
        <v>35</v>
      </c>
      <c r="S122" t="s">
        <v>176</v>
      </c>
      <c r="T122" t="s">
        <v>176</v>
      </c>
      <c r="U122">
        <v>3</v>
      </c>
      <c r="V122">
        <f>COUNTIF(Modelos[Modelo Base], Modelos_Base[[#This Row],[MODELO_DESC]])</f>
        <v>1</v>
      </c>
    </row>
    <row r="123" spans="1:22" x14ac:dyDescent="0.25">
      <c r="A123" s="3" t="s">
        <v>3</v>
      </c>
      <c r="B123" t="s">
        <v>164</v>
      </c>
      <c r="C123" t="s">
        <v>105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 t="s">
        <v>165</v>
      </c>
      <c r="O123" t="s">
        <v>35</v>
      </c>
      <c r="S123" t="s">
        <v>176</v>
      </c>
      <c r="T123" t="s">
        <v>179</v>
      </c>
      <c r="U123">
        <v>4</v>
      </c>
      <c r="V123">
        <f>COUNTIF(Modelos[Modelo Base], Modelos_Base[[#This Row],[MODELO_DESC]])</f>
        <v>1</v>
      </c>
    </row>
    <row r="124" spans="1:22" x14ac:dyDescent="0.25">
      <c r="A124" s="3" t="s">
        <v>3</v>
      </c>
      <c r="B124" t="s">
        <v>166</v>
      </c>
      <c r="C124" t="s">
        <v>105</v>
      </c>
      <c r="D124" s="1"/>
      <c r="E124" s="1"/>
      <c r="F124" s="1"/>
      <c r="G124" s="1"/>
      <c r="H124" s="1"/>
      <c r="I124" s="1"/>
      <c r="J124" s="1"/>
      <c r="K124" s="1" t="s">
        <v>23</v>
      </c>
      <c r="L124" s="1"/>
      <c r="M124" s="1"/>
      <c r="N124" s="2" t="s">
        <v>165</v>
      </c>
      <c r="O124" t="s">
        <v>35</v>
      </c>
      <c r="S124" t="s">
        <v>176</v>
      </c>
      <c r="T124" t="s">
        <v>184</v>
      </c>
      <c r="U124">
        <v>8</v>
      </c>
      <c r="V124">
        <f>COUNTIF(Modelos[Modelo Base], Modelos_Base[[#This Row],[MODELO_DESC]])</f>
        <v>1</v>
      </c>
    </row>
    <row r="125" spans="1:22" x14ac:dyDescent="0.25">
      <c r="A125" s="3" t="s">
        <v>3</v>
      </c>
      <c r="B125" t="s">
        <v>167</v>
      </c>
      <c r="C125" t="s">
        <v>105</v>
      </c>
      <c r="D125" s="1"/>
      <c r="E125" s="1"/>
      <c r="F125" s="1"/>
      <c r="G125" s="1"/>
      <c r="H125" s="1"/>
      <c r="I125" s="1"/>
      <c r="J125" s="1"/>
      <c r="K125" s="1" t="s">
        <v>23</v>
      </c>
      <c r="L125" s="1"/>
      <c r="M125" s="1" t="s">
        <v>25</v>
      </c>
      <c r="N125" s="2" t="s">
        <v>165</v>
      </c>
      <c r="O125" t="s">
        <v>35</v>
      </c>
      <c r="S125" t="s">
        <v>176</v>
      </c>
      <c r="T125" t="s">
        <v>186</v>
      </c>
      <c r="U125">
        <v>6</v>
      </c>
      <c r="V125">
        <f>COUNTIF(Modelos[Modelo Base], Modelos_Base[[#This Row],[MODELO_DESC]])</f>
        <v>1</v>
      </c>
    </row>
    <row r="126" spans="1:22" x14ac:dyDescent="0.25">
      <c r="A126" s="3" t="s">
        <v>3</v>
      </c>
      <c r="B126" t="s">
        <v>168</v>
      </c>
      <c r="C126" t="s">
        <v>105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 t="s">
        <v>165</v>
      </c>
      <c r="O126" t="s">
        <v>35</v>
      </c>
      <c r="S126" t="s">
        <v>176</v>
      </c>
      <c r="T126" t="s">
        <v>187</v>
      </c>
      <c r="U126">
        <v>8</v>
      </c>
      <c r="V126">
        <f>COUNTIF(Modelos[Modelo Base], Modelos_Base[[#This Row],[MODELO_DESC]])</f>
        <v>1</v>
      </c>
    </row>
    <row r="127" spans="1:22" x14ac:dyDescent="0.25">
      <c r="A127" s="3" t="s">
        <v>3</v>
      </c>
      <c r="B127" t="s">
        <v>169</v>
      </c>
      <c r="C127" t="s">
        <v>105</v>
      </c>
      <c r="D127" s="1"/>
      <c r="E127" s="1"/>
      <c r="F127" s="1"/>
      <c r="G127" s="1"/>
      <c r="H127" s="1"/>
      <c r="I127" s="1"/>
      <c r="J127" s="1"/>
      <c r="K127" s="1" t="s">
        <v>23</v>
      </c>
      <c r="L127" s="1"/>
      <c r="M127" s="1"/>
      <c r="N127" s="2" t="s">
        <v>165</v>
      </c>
      <c r="O127" t="s">
        <v>35</v>
      </c>
      <c r="S127" t="s">
        <v>176</v>
      </c>
      <c r="T127" t="s">
        <v>189</v>
      </c>
      <c r="U127">
        <v>15</v>
      </c>
      <c r="V127">
        <f>COUNTIF(Modelos[Modelo Base], Modelos_Base[[#This Row],[MODELO_DESC]])</f>
        <v>1</v>
      </c>
    </row>
    <row r="128" spans="1:22" x14ac:dyDescent="0.25">
      <c r="A128" s="3" t="s">
        <v>3</v>
      </c>
      <c r="B128" t="s">
        <v>171</v>
      </c>
      <c r="C128" t="s">
        <v>105</v>
      </c>
      <c r="D128" s="1"/>
      <c r="E128" s="1"/>
      <c r="F128" s="1"/>
      <c r="G128" s="1"/>
      <c r="H128" s="1"/>
      <c r="I128" s="1"/>
      <c r="J128" s="1"/>
      <c r="K128" s="1" t="s">
        <v>23</v>
      </c>
      <c r="L128" s="1"/>
      <c r="M128" s="1" t="s">
        <v>25</v>
      </c>
      <c r="N128" s="2" t="s">
        <v>165</v>
      </c>
      <c r="O128" t="s">
        <v>35</v>
      </c>
      <c r="S128" t="s">
        <v>176</v>
      </c>
      <c r="T128" t="s">
        <v>191</v>
      </c>
      <c r="U128">
        <v>43</v>
      </c>
      <c r="V128">
        <f>COUNTIF(Modelos[Modelo Base], Modelos_Base[[#This Row],[MODELO_DESC]])</f>
        <v>1</v>
      </c>
    </row>
    <row r="129" spans="1:22" x14ac:dyDescent="0.25">
      <c r="A129" s="3" t="s">
        <v>3</v>
      </c>
      <c r="B129" t="s">
        <v>170</v>
      </c>
      <c r="C129" t="s">
        <v>105</v>
      </c>
      <c r="D129" s="1"/>
      <c r="E129" s="1"/>
      <c r="F129" s="1"/>
      <c r="G129" s="1"/>
      <c r="H129" s="1"/>
      <c r="I129" s="1"/>
      <c r="J129" s="1"/>
      <c r="K129" s="1" t="s">
        <v>23</v>
      </c>
      <c r="L129" s="1"/>
      <c r="M129" s="1" t="s">
        <v>25</v>
      </c>
      <c r="N129" s="2" t="s">
        <v>165</v>
      </c>
      <c r="O129" t="s">
        <v>35</v>
      </c>
      <c r="S129" t="s">
        <v>176</v>
      </c>
      <c r="T129" t="s">
        <v>193</v>
      </c>
      <c r="U129">
        <v>9</v>
      </c>
      <c r="V129">
        <f>COUNTIF(Modelos[Modelo Base], Modelos_Base[[#This Row],[MODELO_DESC]])</f>
        <v>1</v>
      </c>
    </row>
    <row r="130" spans="1:22" x14ac:dyDescent="0.25">
      <c r="A130" s="3" t="s">
        <v>6</v>
      </c>
      <c r="B130" t="s">
        <v>176</v>
      </c>
      <c r="C130" t="s">
        <v>177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 t="s">
        <v>178</v>
      </c>
      <c r="O130" t="s">
        <v>35</v>
      </c>
      <c r="S130" t="s">
        <v>176</v>
      </c>
      <c r="T130" t="s">
        <v>194</v>
      </c>
      <c r="U130">
        <v>10</v>
      </c>
      <c r="V130">
        <f>COUNTIF(Modelos[Modelo Base], Modelos_Base[[#This Row],[MODELO_DESC]])</f>
        <v>1</v>
      </c>
    </row>
    <row r="131" spans="1:22" x14ac:dyDescent="0.25">
      <c r="A131" s="3" t="s">
        <v>6</v>
      </c>
      <c r="B131" t="s">
        <v>182</v>
      </c>
      <c r="C131" t="s">
        <v>177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 t="s">
        <v>178</v>
      </c>
      <c r="O131" t="s">
        <v>35</v>
      </c>
      <c r="S131" t="s">
        <v>176</v>
      </c>
      <c r="T131" t="s">
        <v>196</v>
      </c>
      <c r="U131">
        <v>4</v>
      </c>
      <c r="V131">
        <f>COUNTIF(Modelos[Modelo Base], Modelos_Base[[#This Row],[MODELO_DESC]])</f>
        <v>1</v>
      </c>
    </row>
    <row r="132" spans="1:22" x14ac:dyDescent="0.25">
      <c r="A132" s="3" t="s">
        <v>6</v>
      </c>
      <c r="B132" t="s">
        <v>186</v>
      </c>
      <c r="C132" t="s">
        <v>177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 t="s">
        <v>178</v>
      </c>
      <c r="O132" t="s">
        <v>35</v>
      </c>
      <c r="S132" t="s">
        <v>176</v>
      </c>
      <c r="T132" t="s">
        <v>197</v>
      </c>
      <c r="U132">
        <v>2</v>
      </c>
      <c r="V132">
        <f>COUNTIF(Modelos[Modelo Base], Modelos_Base[[#This Row],[MODELO_DESC]])</f>
        <v>1</v>
      </c>
    </row>
    <row r="133" spans="1:22" x14ac:dyDescent="0.25">
      <c r="A133" s="3" t="s">
        <v>6</v>
      </c>
      <c r="B133" t="s">
        <v>189</v>
      </c>
      <c r="C133" t="s">
        <v>177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 t="s">
        <v>178</v>
      </c>
      <c r="O133" t="s">
        <v>35</v>
      </c>
    </row>
    <row r="134" spans="1:22" x14ac:dyDescent="0.25">
      <c r="A134" s="3" t="s">
        <v>6</v>
      </c>
      <c r="B134" t="s">
        <v>191</v>
      </c>
      <c r="C134" t="s">
        <v>177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 t="s">
        <v>178</v>
      </c>
      <c r="O134" t="s">
        <v>35</v>
      </c>
    </row>
    <row r="135" spans="1:22" x14ac:dyDescent="0.25">
      <c r="A135" s="3" t="s">
        <v>6</v>
      </c>
      <c r="B135" t="s">
        <v>193</v>
      </c>
      <c r="C135" t="s">
        <v>177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 t="s">
        <v>178</v>
      </c>
      <c r="O135" t="s">
        <v>35</v>
      </c>
    </row>
    <row r="136" spans="1:22" x14ac:dyDescent="0.25">
      <c r="A136" s="3" t="s">
        <v>6</v>
      </c>
      <c r="B136" t="s">
        <v>194</v>
      </c>
      <c r="C136" t="s">
        <v>177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 t="s">
        <v>178</v>
      </c>
      <c r="O136" t="s">
        <v>35</v>
      </c>
    </row>
    <row r="137" spans="1:22" x14ac:dyDescent="0.25">
      <c r="A137" s="3" t="s">
        <v>6</v>
      </c>
      <c r="B137" t="s">
        <v>196</v>
      </c>
      <c r="C137" t="s">
        <v>177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 t="s">
        <v>178</v>
      </c>
      <c r="O137" t="s">
        <v>35</v>
      </c>
    </row>
    <row r="138" spans="1:22" x14ac:dyDescent="0.25">
      <c r="A138" s="3" t="s">
        <v>6</v>
      </c>
      <c r="B138" t="s">
        <v>197</v>
      </c>
      <c r="C138" t="s">
        <v>177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 t="s">
        <v>178</v>
      </c>
      <c r="O138" t="s">
        <v>35</v>
      </c>
    </row>
    <row r="139" spans="1:22" x14ac:dyDescent="0.25">
      <c r="A139" s="3" t="s">
        <v>6</v>
      </c>
      <c r="B139" t="s">
        <v>179</v>
      </c>
      <c r="C139" t="s">
        <v>177</v>
      </c>
      <c r="D139" s="1"/>
      <c r="E139" s="1"/>
      <c r="F139" s="1"/>
      <c r="G139" s="1"/>
      <c r="H139" s="1"/>
      <c r="I139" s="1"/>
      <c r="J139" s="1"/>
      <c r="K139" s="1"/>
      <c r="L139" s="1"/>
      <c r="M139" s="1" t="s">
        <v>25</v>
      </c>
      <c r="N139" s="2" t="s">
        <v>180</v>
      </c>
      <c r="O139" t="s">
        <v>35</v>
      </c>
    </row>
    <row r="140" spans="1:22" x14ac:dyDescent="0.25">
      <c r="A140" s="3" t="s">
        <v>6</v>
      </c>
      <c r="B140" t="s">
        <v>184</v>
      </c>
      <c r="C140" t="s">
        <v>177</v>
      </c>
      <c r="D140" s="1"/>
      <c r="E140" s="1"/>
      <c r="F140" s="1"/>
      <c r="G140" s="1"/>
      <c r="H140" s="1"/>
      <c r="I140" s="1"/>
      <c r="J140" s="1"/>
      <c r="K140" s="1"/>
      <c r="L140" s="1"/>
      <c r="M140" s="1" t="s">
        <v>25</v>
      </c>
      <c r="N140" s="2" t="s">
        <v>180</v>
      </c>
      <c r="O140" t="s">
        <v>35</v>
      </c>
    </row>
    <row r="141" spans="1:22" x14ac:dyDescent="0.25">
      <c r="A141" s="3" t="s">
        <v>6</v>
      </c>
      <c r="B141" t="s">
        <v>187</v>
      </c>
      <c r="C141" t="s">
        <v>177</v>
      </c>
      <c r="D141" s="1"/>
      <c r="E141" s="1"/>
      <c r="F141" s="1"/>
      <c r="G141" s="1"/>
      <c r="H141" s="1"/>
      <c r="I141" s="1"/>
      <c r="J141" s="1"/>
      <c r="K141" s="1"/>
      <c r="L141" s="1"/>
      <c r="M141" s="1" t="s">
        <v>25</v>
      </c>
      <c r="N141" s="2" t="s">
        <v>180</v>
      </c>
      <c r="O141" t="s">
        <v>35</v>
      </c>
    </row>
    <row r="142" spans="1:22" x14ac:dyDescent="0.25">
      <c r="A142" s="4" t="s">
        <v>36</v>
      </c>
      <c r="B142" s="2" t="s">
        <v>39</v>
      </c>
      <c r="C142" t="s">
        <v>284</v>
      </c>
      <c r="F142" s="1"/>
      <c r="H142" s="1"/>
      <c r="I142" s="1"/>
      <c r="J142" s="1"/>
      <c r="N142" t="s">
        <v>49</v>
      </c>
      <c r="O142" t="s">
        <v>35</v>
      </c>
    </row>
    <row r="143" spans="1:22" x14ac:dyDescent="0.25">
      <c r="A143" s="4" t="s">
        <v>36</v>
      </c>
      <c r="B143" s="2" t="s">
        <v>43</v>
      </c>
      <c r="C143" t="s">
        <v>286</v>
      </c>
      <c r="E143" t="s">
        <v>17</v>
      </c>
      <c r="F143" s="1" t="s">
        <v>18</v>
      </c>
      <c r="H143" s="1"/>
      <c r="I143" s="1"/>
      <c r="J143" s="1"/>
      <c r="N143" s="2" t="s">
        <v>43</v>
      </c>
      <c r="O143" t="s">
        <v>35</v>
      </c>
    </row>
    <row r="144" spans="1:22" x14ac:dyDescent="0.25">
      <c r="A144" t="s">
        <v>36</v>
      </c>
      <c r="B144" t="s">
        <v>45</v>
      </c>
      <c r="C144" t="s">
        <v>287</v>
      </c>
      <c r="E144" t="s">
        <v>17</v>
      </c>
      <c r="F144" s="1" t="s">
        <v>18</v>
      </c>
      <c r="H144" s="1"/>
      <c r="I144" s="1"/>
      <c r="J144" s="1"/>
      <c r="N144" s="2" t="s">
        <v>43</v>
      </c>
      <c r="O144" t="s">
        <v>35</v>
      </c>
    </row>
    <row r="145" spans="1:15" x14ac:dyDescent="0.25">
      <c r="A145" s="4" t="s">
        <v>36</v>
      </c>
      <c r="B145" s="2" t="s">
        <v>47</v>
      </c>
      <c r="C145" t="s">
        <v>286</v>
      </c>
      <c r="E145" t="s">
        <v>17</v>
      </c>
      <c r="F145" s="1" t="s">
        <v>18</v>
      </c>
      <c r="H145" s="1"/>
      <c r="I145" s="1"/>
      <c r="J145" s="1"/>
      <c r="N145" s="2" t="s">
        <v>43</v>
      </c>
      <c r="O145" t="s">
        <v>35</v>
      </c>
    </row>
    <row r="146" spans="1:15" x14ac:dyDescent="0.25">
      <c r="A146" s="4" t="s">
        <v>36</v>
      </c>
      <c r="B146" s="2" t="s">
        <v>49</v>
      </c>
      <c r="C146" t="s">
        <v>284</v>
      </c>
      <c r="E146" t="s">
        <v>17</v>
      </c>
      <c r="F146" s="1"/>
      <c r="H146" s="1"/>
      <c r="I146" s="1"/>
      <c r="J146" s="1"/>
      <c r="N146" t="s">
        <v>49</v>
      </c>
      <c r="O146" t="s">
        <v>35</v>
      </c>
    </row>
    <row r="147" spans="1:15" x14ac:dyDescent="0.25">
      <c r="A147" s="4" t="s">
        <v>36</v>
      </c>
      <c r="B147" s="2" t="s">
        <v>52</v>
      </c>
      <c r="C147" t="s">
        <v>288</v>
      </c>
      <c r="E147" t="s">
        <v>17</v>
      </c>
      <c r="F147" s="1"/>
      <c r="H147" s="1"/>
      <c r="I147" s="1"/>
      <c r="J147" s="1"/>
      <c r="N147" t="s">
        <v>49</v>
      </c>
      <c r="O147" t="s">
        <v>35</v>
      </c>
    </row>
    <row r="148" spans="1:15" x14ac:dyDescent="0.25">
      <c r="A148" s="4" t="s">
        <v>36</v>
      </c>
      <c r="B148" s="2" t="s">
        <v>54</v>
      </c>
      <c r="C148" t="s">
        <v>284</v>
      </c>
      <c r="E148" t="s">
        <v>17</v>
      </c>
      <c r="F148" s="1"/>
      <c r="H148" s="1"/>
      <c r="I148" s="1"/>
      <c r="J148" s="1"/>
      <c r="N148" t="s">
        <v>49</v>
      </c>
      <c r="O148" t="s">
        <v>35</v>
      </c>
    </row>
    <row r="149" spans="1:15" x14ac:dyDescent="0.25">
      <c r="A149" s="4" t="s">
        <v>4</v>
      </c>
      <c r="B149" s="2" t="s">
        <v>173</v>
      </c>
      <c r="C149" s="2" t="s">
        <v>173</v>
      </c>
      <c r="F149" s="1"/>
      <c r="H149" s="1"/>
      <c r="I149" s="1"/>
      <c r="J149" s="1"/>
      <c r="N149" s="2" t="s">
        <v>4</v>
      </c>
      <c r="O149" t="s">
        <v>290</v>
      </c>
    </row>
    <row r="150" spans="1:15" x14ac:dyDescent="0.25">
      <c r="A150" s="4" t="s">
        <v>1</v>
      </c>
      <c r="B150" s="2" t="s">
        <v>5</v>
      </c>
      <c r="C150" s="2" t="s">
        <v>5</v>
      </c>
      <c r="F150" s="1"/>
      <c r="H150" s="1"/>
      <c r="I150" s="1"/>
      <c r="J150" s="1"/>
      <c r="N150" s="2" t="s">
        <v>5</v>
      </c>
      <c r="O150" t="s">
        <v>290</v>
      </c>
    </row>
    <row r="151" spans="1:15" x14ac:dyDescent="0.25">
      <c r="A151" s="4" t="s">
        <v>1</v>
      </c>
      <c r="B151" s="2" t="s">
        <v>8</v>
      </c>
      <c r="C151" s="2" t="s">
        <v>8</v>
      </c>
      <c r="F151" s="1"/>
      <c r="H151" s="1"/>
      <c r="I151" s="1"/>
      <c r="J151" s="1"/>
      <c r="N151" s="2" t="s">
        <v>8</v>
      </c>
      <c r="O151" t="s">
        <v>290</v>
      </c>
    </row>
    <row r="152" spans="1:15" x14ac:dyDescent="0.25">
      <c r="A152" s="4" t="s">
        <v>1</v>
      </c>
      <c r="B152" s="2" t="s">
        <v>181</v>
      </c>
      <c r="C152" s="2" t="s">
        <v>181</v>
      </c>
      <c r="F152" s="1"/>
      <c r="H152" s="1"/>
      <c r="I152" s="1"/>
      <c r="J152" s="1"/>
      <c r="N152" s="2" t="s">
        <v>8</v>
      </c>
      <c r="O152" t="s">
        <v>290</v>
      </c>
    </row>
    <row r="153" spans="1:15" x14ac:dyDescent="0.25">
      <c r="A153" s="4" t="s">
        <v>1</v>
      </c>
      <c r="B153" s="2" t="s">
        <v>183</v>
      </c>
      <c r="C153" s="2" t="s">
        <v>183</v>
      </c>
      <c r="F153" s="1"/>
      <c r="H153" s="1"/>
      <c r="I153" s="1"/>
      <c r="J153" s="1"/>
      <c r="N153" s="2" t="s">
        <v>183</v>
      </c>
      <c r="O153" t="s">
        <v>290</v>
      </c>
    </row>
    <row r="154" spans="1:15" x14ac:dyDescent="0.25">
      <c r="A154" s="4" t="s">
        <v>1</v>
      </c>
      <c r="B154" s="2" t="s">
        <v>185</v>
      </c>
      <c r="C154" s="2" t="s">
        <v>185</v>
      </c>
      <c r="F154" s="1"/>
      <c r="H154" s="1"/>
      <c r="I154" s="1"/>
      <c r="J154" s="1"/>
      <c r="N154" s="2" t="s">
        <v>183</v>
      </c>
      <c r="O154" t="s">
        <v>290</v>
      </c>
    </row>
    <row r="155" spans="1:15" x14ac:dyDescent="0.25">
      <c r="A155" s="4" t="s">
        <v>1</v>
      </c>
      <c r="B155" s="2" t="s">
        <v>12</v>
      </c>
      <c r="C155" s="2" t="s">
        <v>12</v>
      </c>
      <c r="F155" s="1"/>
      <c r="H155" s="1"/>
      <c r="I155" s="1"/>
      <c r="J155" s="1"/>
      <c r="N155" s="2" t="s">
        <v>12</v>
      </c>
      <c r="O155" t="s">
        <v>290</v>
      </c>
    </row>
    <row r="156" spans="1:15" x14ac:dyDescent="0.25">
      <c r="A156" s="4" t="s">
        <v>1</v>
      </c>
      <c r="B156" s="2" t="s">
        <v>188</v>
      </c>
      <c r="C156" s="2" t="s">
        <v>188</v>
      </c>
      <c r="F156" s="1"/>
      <c r="H156" s="1"/>
      <c r="I156" s="1"/>
      <c r="J156" s="1"/>
      <c r="N156" s="2" t="s">
        <v>12</v>
      </c>
      <c r="O156" t="s">
        <v>290</v>
      </c>
    </row>
    <row r="157" spans="1:15" x14ac:dyDescent="0.25">
      <c r="A157" s="4" t="s">
        <v>283</v>
      </c>
      <c r="B157" s="2" t="s">
        <v>190</v>
      </c>
      <c r="C157" s="2" t="s">
        <v>190</v>
      </c>
      <c r="F157" s="1"/>
      <c r="H157" s="1"/>
      <c r="I157" s="1"/>
      <c r="J157" s="1"/>
      <c r="N157" s="2" t="s">
        <v>190</v>
      </c>
      <c r="O157" t="s">
        <v>290</v>
      </c>
    </row>
    <row r="158" spans="1:15" x14ac:dyDescent="0.25">
      <c r="A158" s="4" t="s">
        <v>7</v>
      </c>
      <c r="B158" s="2" t="s">
        <v>192</v>
      </c>
      <c r="C158" s="2" t="s">
        <v>192</v>
      </c>
      <c r="F158" s="1"/>
      <c r="H158" s="1"/>
      <c r="I158" s="1"/>
      <c r="J158" s="1"/>
      <c r="N158" s="2" t="s">
        <v>192</v>
      </c>
      <c r="O158" t="s">
        <v>290</v>
      </c>
    </row>
    <row r="159" spans="1:15" x14ac:dyDescent="0.25">
      <c r="A159" s="4" t="s">
        <v>7</v>
      </c>
      <c r="B159" s="2" t="s">
        <v>195</v>
      </c>
      <c r="C159" s="2" t="s">
        <v>195</v>
      </c>
      <c r="F159" s="1"/>
      <c r="H159" s="1"/>
      <c r="I159" s="1"/>
      <c r="J159" s="1"/>
      <c r="N159" s="2" t="s">
        <v>195</v>
      </c>
      <c r="O159" t="s">
        <v>290</v>
      </c>
    </row>
    <row r="160" spans="1:15" x14ac:dyDescent="0.25">
      <c r="A160" s="4" t="s">
        <v>7</v>
      </c>
      <c r="B160" s="2" t="s">
        <v>198</v>
      </c>
      <c r="C160" s="2" t="s">
        <v>198</v>
      </c>
      <c r="F160" s="1"/>
      <c r="H160" s="1"/>
      <c r="I160" s="1"/>
      <c r="J160" s="1"/>
      <c r="N160" s="2" t="s">
        <v>198</v>
      </c>
      <c r="O160" t="s">
        <v>290</v>
      </c>
    </row>
    <row r="161" spans="1:15" x14ac:dyDescent="0.25">
      <c r="A161" s="4" t="s">
        <v>283</v>
      </c>
      <c r="B161" s="2" t="s">
        <v>200</v>
      </c>
      <c r="C161" s="2" t="s">
        <v>200</v>
      </c>
      <c r="F161" s="1"/>
      <c r="H161" s="1"/>
      <c r="I161" s="1"/>
      <c r="J161" s="1"/>
      <c r="N161" s="2" t="s">
        <v>200</v>
      </c>
      <c r="O161" t="s">
        <v>290</v>
      </c>
    </row>
    <row r="162" spans="1:15" x14ac:dyDescent="0.25">
      <c r="A162" s="4" t="s">
        <v>212</v>
      </c>
      <c r="B162" s="2" t="s">
        <v>201</v>
      </c>
      <c r="C162" s="2" t="s">
        <v>201</v>
      </c>
      <c r="F162" s="1"/>
      <c r="H162" s="1"/>
      <c r="I162" s="1"/>
      <c r="J162" s="1"/>
      <c r="N162" s="2" t="s">
        <v>201</v>
      </c>
      <c r="O162" t="s">
        <v>290</v>
      </c>
    </row>
    <row r="163" spans="1:15" x14ac:dyDescent="0.25">
      <c r="A163" s="4"/>
      <c r="B163" s="2"/>
      <c r="C163" s="2"/>
      <c r="F163" s="1"/>
      <c r="H163" s="1"/>
      <c r="I163" s="1"/>
      <c r="J163" s="1"/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5442-BF77-4AE2-A60E-6201E2686169}">
  <dimension ref="A1:G43"/>
  <sheetViews>
    <sheetView showGridLines="0" workbookViewId="0">
      <selection sqref="A1:C26"/>
    </sheetView>
  </sheetViews>
  <sheetFormatPr baseColWidth="10" defaultColWidth="11.42578125" defaultRowHeight="15" x14ac:dyDescent="0.25"/>
  <cols>
    <col min="1" max="1" width="16.42578125" bestFit="1" customWidth="1"/>
    <col min="2" max="2" width="13.5703125" bestFit="1" customWidth="1"/>
    <col min="3" max="3" width="11" bestFit="1" customWidth="1"/>
    <col min="4" max="4" width="22.42578125" bestFit="1" customWidth="1"/>
    <col min="5" max="5" width="22.42578125" style="7" bestFit="1" customWidth="1"/>
    <col min="6" max="6" width="22.42578125" style="6" bestFit="1" customWidth="1"/>
    <col min="7" max="7" width="17.5703125" bestFit="1" customWidth="1"/>
    <col min="8" max="10" width="22.42578125" bestFit="1" customWidth="1"/>
    <col min="11" max="11" width="12.5703125" bestFit="1" customWidth="1"/>
  </cols>
  <sheetData>
    <row r="1" spans="1:7" x14ac:dyDescent="0.25">
      <c r="A1" t="s">
        <v>0</v>
      </c>
      <c r="B1" t="s">
        <v>26</v>
      </c>
      <c r="C1" t="s">
        <v>214</v>
      </c>
      <c r="E1" s="7" t="str" cm="1">
        <f t="array" ref="E1:E10">_xlfn._xlws.SORT(_xlfn.UNIQUE(MPCR[Fabricante]))</f>
        <v>CIMA</v>
      </c>
      <c r="G1" s="8" t="s">
        <v>2</v>
      </c>
    </row>
    <row r="2" spans="1:7" x14ac:dyDescent="0.25">
      <c r="A2" t="s">
        <v>4</v>
      </c>
      <c r="B2" t="s">
        <v>4</v>
      </c>
      <c r="C2">
        <v>0.35</v>
      </c>
      <c r="E2" s="7" t="str">
        <v>Diebold Nixdorf</v>
      </c>
      <c r="G2" s="3" t="s">
        <v>3</v>
      </c>
    </row>
    <row r="3" spans="1:7" x14ac:dyDescent="0.25">
      <c r="A3" t="s">
        <v>1</v>
      </c>
      <c r="B3" t="s">
        <v>5</v>
      </c>
      <c r="C3">
        <v>0.35</v>
      </c>
      <c r="E3" s="7" t="str">
        <v>Diebold Procomp</v>
      </c>
      <c r="G3" s="9" t="s">
        <v>158</v>
      </c>
    </row>
    <row r="4" spans="1:7" x14ac:dyDescent="0.25">
      <c r="A4" t="s">
        <v>1</v>
      </c>
      <c r="B4" t="s">
        <v>8</v>
      </c>
      <c r="C4">
        <v>0.35</v>
      </c>
      <c r="E4" s="7" t="str">
        <v>GLORY</v>
      </c>
      <c r="G4" s="9" t="s">
        <v>42</v>
      </c>
    </row>
    <row r="5" spans="1:7" x14ac:dyDescent="0.25">
      <c r="A5" t="s">
        <v>1</v>
      </c>
      <c r="B5" t="s">
        <v>10</v>
      </c>
      <c r="C5">
        <v>0.35</v>
      </c>
      <c r="E5" s="7" t="str">
        <v>GRG Banking</v>
      </c>
      <c r="G5" s="9" t="s">
        <v>34</v>
      </c>
    </row>
    <row r="6" spans="1:7" x14ac:dyDescent="0.25">
      <c r="A6" t="s">
        <v>1</v>
      </c>
      <c r="B6" t="s">
        <v>12</v>
      </c>
      <c r="C6">
        <v>0.35</v>
      </c>
      <c r="E6" s="7" t="str">
        <v>GUNNEBO</v>
      </c>
      <c r="G6" s="9" t="s">
        <v>99</v>
      </c>
    </row>
    <row r="7" spans="1:7" x14ac:dyDescent="0.25">
      <c r="A7" t="s">
        <v>3</v>
      </c>
      <c r="B7" t="s">
        <v>158</v>
      </c>
      <c r="C7">
        <v>0.5</v>
      </c>
      <c r="E7" s="7" t="str">
        <v>MEI</v>
      </c>
      <c r="G7" s="9" t="s">
        <v>175</v>
      </c>
    </row>
    <row r="8" spans="1:7" x14ac:dyDescent="0.25">
      <c r="A8" t="s">
        <v>7</v>
      </c>
      <c r="B8" t="s">
        <v>192</v>
      </c>
      <c r="C8">
        <v>0.35</v>
      </c>
      <c r="E8" s="7" t="str">
        <v>Prosegur</v>
      </c>
      <c r="G8" s="9" t="s">
        <v>165</v>
      </c>
    </row>
    <row r="9" spans="1:7" x14ac:dyDescent="0.25">
      <c r="A9" t="s">
        <v>7</v>
      </c>
      <c r="B9" t="s">
        <v>195</v>
      </c>
      <c r="C9">
        <v>0.35</v>
      </c>
      <c r="E9" s="7" t="str">
        <v>SNBC</v>
      </c>
      <c r="G9" s="3" t="s">
        <v>9</v>
      </c>
    </row>
    <row r="10" spans="1:7" x14ac:dyDescent="0.25">
      <c r="A10" t="s">
        <v>7</v>
      </c>
      <c r="B10" t="s">
        <v>198</v>
      </c>
      <c r="C10">
        <v>0.35</v>
      </c>
      <c r="E10" s="7" t="str">
        <v>Wincor</v>
      </c>
      <c r="G10" s="9" t="s">
        <v>206</v>
      </c>
    </row>
    <row r="11" spans="1:7" x14ac:dyDescent="0.25">
      <c r="A11" t="s">
        <v>7</v>
      </c>
      <c r="B11" t="s">
        <v>209</v>
      </c>
      <c r="C11">
        <v>0.35</v>
      </c>
      <c r="G11" s="9" t="s">
        <v>199</v>
      </c>
    </row>
    <row r="12" spans="1:7" x14ac:dyDescent="0.25">
      <c r="A12" t="s">
        <v>9</v>
      </c>
      <c r="B12" t="s">
        <v>206</v>
      </c>
      <c r="C12">
        <v>0.5</v>
      </c>
      <c r="G12" s="9" t="s">
        <v>204</v>
      </c>
    </row>
    <row r="13" spans="1:7" x14ac:dyDescent="0.25">
      <c r="A13" t="s">
        <v>9</v>
      </c>
      <c r="B13" t="s">
        <v>199</v>
      </c>
      <c r="C13">
        <v>0.5</v>
      </c>
      <c r="G13" s="9" t="s">
        <v>202</v>
      </c>
    </row>
    <row r="14" spans="1:7" x14ac:dyDescent="0.25">
      <c r="A14" t="s">
        <v>9</v>
      </c>
      <c r="B14" t="s">
        <v>204</v>
      </c>
      <c r="C14">
        <v>0.5</v>
      </c>
      <c r="G14" s="3" t="s">
        <v>11</v>
      </c>
    </row>
    <row r="15" spans="1:7" x14ac:dyDescent="0.25">
      <c r="A15" t="s">
        <v>9</v>
      </c>
      <c r="B15" t="s">
        <v>202</v>
      </c>
      <c r="C15">
        <v>0.5</v>
      </c>
      <c r="G15" s="9" t="s">
        <v>207</v>
      </c>
    </row>
    <row r="16" spans="1:7" x14ac:dyDescent="0.25">
      <c r="A16" t="s">
        <v>74</v>
      </c>
      <c r="B16" t="s">
        <v>74</v>
      </c>
      <c r="C16">
        <v>0.2</v>
      </c>
      <c r="G16" s="9" t="s">
        <v>208</v>
      </c>
    </row>
    <row r="17" spans="1:7" x14ac:dyDescent="0.25">
      <c r="A17" t="s">
        <v>210</v>
      </c>
      <c r="B17" t="s">
        <v>210</v>
      </c>
      <c r="C17">
        <v>0.35</v>
      </c>
      <c r="G17" s="3" t="s">
        <v>13</v>
      </c>
    </row>
    <row r="18" spans="1:7" x14ac:dyDescent="0.25">
      <c r="A18" t="s">
        <v>3</v>
      </c>
      <c r="B18" t="s">
        <v>42</v>
      </c>
      <c r="C18">
        <v>0.5</v>
      </c>
    </row>
    <row r="19" spans="1:7" x14ac:dyDescent="0.25">
      <c r="A19" t="s">
        <v>3</v>
      </c>
      <c r="B19" t="s">
        <v>34</v>
      </c>
      <c r="C19">
        <v>0.7</v>
      </c>
    </row>
    <row r="20" spans="1:7" x14ac:dyDescent="0.25">
      <c r="A20" t="s">
        <v>3</v>
      </c>
      <c r="B20" t="s">
        <v>99</v>
      </c>
      <c r="C20">
        <v>0.5</v>
      </c>
    </row>
    <row r="21" spans="1:7" x14ac:dyDescent="0.25">
      <c r="A21" t="s">
        <v>212</v>
      </c>
      <c r="B21" t="s">
        <v>211</v>
      </c>
      <c r="C21">
        <v>1.3</v>
      </c>
    </row>
    <row r="22" spans="1:7" x14ac:dyDescent="0.25">
      <c r="A22" t="s">
        <v>3</v>
      </c>
      <c r="B22" t="s">
        <v>175</v>
      </c>
      <c r="C22">
        <v>1</v>
      </c>
    </row>
    <row r="23" spans="1:7" x14ac:dyDescent="0.25">
      <c r="A23" t="s">
        <v>3</v>
      </c>
      <c r="B23" t="s">
        <v>165</v>
      </c>
      <c r="C23">
        <v>0.5</v>
      </c>
    </row>
    <row r="24" spans="1:7" x14ac:dyDescent="0.25">
      <c r="A24" t="s">
        <v>6</v>
      </c>
      <c r="B24" t="s">
        <v>178</v>
      </c>
      <c r="C24">
        <v>0.3</v>
      </c>
    </row>
    <row r="25" spans="1:7" x14ac:dyDescent="0.25">
      <c r="A25" t="s">
        <v>6</v>
      </c>
      <c r="B25" t="s">
        <v>180</v>
      </c>
      <c r="C25">
        <v>0.5</v>
      </c>
    </row>
    <row r="26" spans="1:7" x14ac:dyDescent="0.25">
      <c r="A26" t="s">
        <v>11</v>
      </c>
      <c r="B26" t="s">
        <v>207</v>
      </c>
      <c r="C26">
        <v>0.5</v>
      </c>
    </row>
    <row r="27" spans="1:7" x14ac:dyDescent="0.25">
      <c r="A27" t="s">
        <v>11</v>
      </c>
      <c r="B27" t="s">
        <v>208</v>
      </c>
      <c r="C27">
        <v>0.5</v>
      </c>
    </row>
    <row r="42" spans="5:6" x14ac:dyDescent="0.25">
      <c r="E42"/>
      <c r="F42"/>
    </row>
    <row r="43" spans="5:6" x14ac:dyDescent="0.25">
      <c r="E43"/>
      <c r="F43"/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006ee52-397c-4a96-9d1f-7111df70f737">
      <UserInfo>
        <DisplayName>Lucas Maximiliano Garcia Feldinger</DisplayName>
        <AccountId>44</AccountId>
        <AccountType/>
      </UserInfo>
    </SharedWithUsers>
  </documentManagement>
</p:properties>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8E99009C46A749810AEFD65D0E6BD1" ma:contentTypeVersion="6" ma:contentTypeDescription="Crear nuevo documento." ma:contentTypeScope="" ma:versionID="9802b65e9c50423a19c305593c591584">
  <xsd:schema xmlns:xsd="http://www.w3.org/2001/XMLSchema" xmlns:xs="http://www.w3.org/2001/XMLSchema" xmlns:p="http://schemas.microsoft.com/office/2006/metadata/properties" xmlns:ns2="29153ac4-f3ce-4755-b921-8b2d1051b0f2" xmlns:ns3="4006ee52-397c-4a96-9d1f-7111df70f737" targetNamespace="http://schemas.microsoft.com/office/2006/metadata/properties" ma:root="true" ma:fieldsID="e51b1b9fd9192d5ff65ac56f1f173509" ns2:_="" ns3:_="">
    <xsd:import namespace="29153ac4-f3ce-4755-b921-8b2d1051b0f2"/>
    <xsd:import namespace="4006ee52-397c-4a96-9d1f-7111df70f7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53ac4-f3ce-4755-b921-8b2d1051b0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6ee52-397c-4a96-9d1f-7111df70f73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637788-6D2D-4342-88A3-455556CB70DB}">
  <ds:schemaRefs>
    <ds:schemaRef ds:uri="http://gemini/pivotcustomization/SandboxNonEmpty"/>
  </ds:schemaRefs>
</ds:datastoreItem>
</file>

<file path=customXml/itemProps2.xml><?xml version="1.0" encoding="utf-8"?>
<ds:datastoreItem xmlns:ds="http://schemas.openxmlformats.org/officeDocument/2006/customXml" ds:itemID="{5BBCF0DE-612D-467D-8796-34C804699E31}">
  <ds:schemaRefs>
    <ds:schemaRef ds:uri="http://gemini/pivotcustomization/IsSandboxEmbedded"/>
  </ds:schemaRefs>
</ds:datastoreItem>
</file>

<file path=customXml/itemProps3.xml><?xml version="1.0" encoding="utf-8"?>
<ds:datastoreItem xmlns:ds="http://schemas.openxmlformats.org/officeDocument/2006/customXml" ds:itemID="{EAB402BE-F926-4D13-88B2-42DC5603144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272AF5E-F011-4B0D-9979-0E9E800C51DA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240422F2-FB39-4280-9A5F-5A0B9FC96FC0}">
  <ds:schemaRefs>
    <ds:schemaRef ds:uri="http://gemini/pivotcustomization/ErrorCache"/>
  </ds:schemaRefs>
</ds:datastoreItem>
</file>

<file path=customXml/itemProps6.xml><?xml version="1.0" encoding="utf-8"?>
<ds:datastoreItem xmlns:ds="http://schemas.openxmlformats.org/officeDocument/2006/customXml" ds:itemID="{A4ADA0C6-576C-493C-9C17-B9C153EFEDD5}">
  <ds:schemaRefs>
    <ds:schemaRef ds:uri="29153ac4-f3ce-4755-b921-8b2d1051b0f2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4006ee52-397c-4a96-9d1f-7111df70f737"/>
    <ds:schemaRef ds:uri="http://purl.org/dc/elements/1.1/"/>
  </ds:schemaRefs>
</ds:datastoreItem>
</file>

<file path=customXml/itemProps7.xml><?xml version="1.0" encoding="utf-8"?>
<ds:datastoreItem xmlns:ds="http://schemas.openxmlformats.org/officeDocument/2006/customXml" ds:itemID="{60428C7D-7A4F-468C-970F-F16AEB75E94A}">
  <ds:schemaRefs>
    <ds:schemaRef ds:uri="http://gemini/pivotcustomization/PowerPivotVersion"/>
  </ds:schemaRefs>
</ds:datastoreItem>
</file>

<file path=customXml/itemProps8.xml><?xml version="1.0" encoding="utf-8"?>
<ds:datastoreItem xmlns:ds="http://schemas.openxmlformats.org/officeDocument/2006/customXml" ds:itemID="{D692D420-FA75-4F35-B5DC-F7BAADE6E4EB}">
  <ds:schemaRefs>
    <ds:schemaRef ds:uri="http://gemini/pivotcustomization/RelationshipAutoDetectionEnabled"/>
  </ds:schemaRefs>
</ds:datastoreItem>
</file>

<file path=customXml/itemProps9.xml><?xml version="1.0" encoding="utf-8"?>
<ds:datastoreItem xmlns:ds="http://schemas.openxmlformats.org/officeDocument/2006/customXml" ds:itemID="{74316DE8-5F27-4844-AABD-D25F635A42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153ac4-f3ce-4755-b921-8b2d1051b0f2"/>
    <ds:schemaRef ds:uri="4006ee52-397c-4a96-9d1f-7111df70f7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MPCR</vt:lpstr>
      <vt:lpstr>Call 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Mariano</dc:creator>
  <cp:keywords/>
  <dc:description/>
  <cp:lastModifiedBy>Mariano Deus</cp:lastModifiedBy>
  <cp:revision/>
  <dcterms:created xsi:type="dcterms:W3CDTF">2022-10-09T18:10:30Z</dcterms:created>
  <dcterms:modified xsi:type="dcterms:W3CDTF">2026-03-04T20:22:04Z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0x010100E08E99009C46A749810AEFD65D0E6BD1</vt:lpwstr>
  </property>
  <property fmtid="{D5CDD505-2E9C-101B-9397-08002B2CF9AE}" pid="3" name="Order">
    <vt:r8>3207100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TemplateUrl">
    <vt:lpwstr/>
  </property>
</Properties>
</file>